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.sharepoint.com/sites/doi-Lower-Mississippi-River-FWCO-Staff-/Shared Documents/Invasive Carp/Frame_and_Process_Docs/_LMRARW_DecisonModel/3. SPMM/"/>
    </mc:Choice>
  </mc:AlternateContent>
  <xr:revisionPtr revIDLastSave="1223" documentId="8_{0F27C045-F9ED-4C6D-B496-98C3798A38D9}" xr6:coauthVersionLast="47" xr6:coauthVersionMax="47" xr10:uidLastSave="{D5A20727-98EA-4DD6-91F2-56BBBA3F01CE}"/>
  <bookViews>
    <workbookView xWindow="28395" yWindow="-16320" windowWidth="29040" windowHeight="15720" xr2:uid="{00000000-000D-0000-FFFF-FFFF00000000}"/>
  </bookViews>
  <sheets>
    <sheet name="metadata" sheetId="1" r:id="rId1"/>
    <sheet name="patch_1_demo" sheetId="2" r:id="rId2"/>
    <sheet name="patch_2_demo" sheetId="3" r:id="rId3"/>
    <sheet name="patch_3_demo" sheetId="4" r:id="rId4"/>
    <sheet name="patch_4_demo" sheetId="5" r:id="rId5"/>
    <sheet name="patch_5_demo" sheetId="6" r:id="rId6"/>
    <sheet name="patch_6_demo" sheetId="7" r:id="rId7"/>
    <sheet name="patch_7_demo" sheetId="8" r:id="rId8"/>
    <sheet name="patch_8_demo" sheetId="9" r:id="rId9"/>
    <sheet name="patch_9_demo" sheetId="10" r:id="rId10"/>
    <sheet name="patch_10_demo" sheetId="11" r:id="rId11"/>
    <sheet name="patch_11_demo" sheetId="12" r:id="rId12"/>
    <sheet name="patch_12_demo" sheetId="13" r:id="rId13"/>
    <sheet name="patch_13_demo" sheetId="14" r:id="rId14"/>
    <sheet name="patch_14_demo" sheetId="15" r:id="rId15"/>
    <sheet name="patch_15_demo" sheetId="16" r:id="rId16"/>
    <sheet name="patch_16_demo" sheetId="17" r:id="rId17"/>
    <sheet name="patch_17_demo" sheetId="18" r:id="rId18"/>
    <sheet name="patch_18_demo" sheetId="19" r:id="rId19"/>
    <sheet name="patch_19_demo" sheetId="20" r:id="rId20"/>
    <sheet name="patch_20_demo" sheetId="21" r:id="rId21"/>
    <sheet name="patch_21_demo" sheetId="22" r:id="rId22"/>
    <sheet name="patch_22_demo" sheetId="23" r:id="rId23"/>
    <sheet name="patch_23_demo" sheetId="24" r:id="rId24"/>
    <sheet name="stage_1_move" sheetId="27" r:id="rId25"/>
    <sheet name="stage_2_move" sheetId="28" r:id="rId2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8" l="1"/>
  <c r="W23" i="28"/>
  <c r="V22" i="28"/>
  <c r="U21" i="28"/>
  <c r="T20" i="28"/>
  <c r="S19" i="28"/>
  <c r="R18" i="28"/>
  <c r="Q17" i="28"/>
  <c r="P16" i="28"/>
  <c r="O15" i="28"/>
  <c r="N14" i="28"/>
  <c r="M13" i="28"/>
  <c r="L12" i="28"/>
  <c r="K11" i="28"/>
  <c r="J10" i="28"/>
  <c r="I9" i="28"/>
  <c r="H8" i="28"/>
  <c r="G7" i="28"/>
  <c r="F6" i="28"/>
  <c r="E5" i="28"/>
  <c r="C3" i="28"/>
  <c r="B2" i="28"/>
  <c r="A1" i="28"/>
  <c r="W23" i="27"/>
  <c r="V22" i="27"/>
  <c r="U21" i="27"/>
  <c r="T20" i="27"/>
  <c r="S19" i="27"/>
  <c r="R18" i="27"/>
  <c r="Q17" i="27"/>
  <c r="P16" i="27"/>
  <c r="O15" i="27"/>
  <c r="N14" i="27"/>
  <c r="M13" i="27"/>
  <c r="L12" i="27"/>
  <c r="K11" i="27"/>
  <c r="J10" i="27"/>
  <c r="I9" i="27"/>
  <c r="H8" i="27"/>
  <c r="F6" i="27"/>
  <c r="E5" i="27"/>
  <c r="D4" i="27"/>
  <c r="C3" i="27"/>
  <c r="B2" i="27"/>
  <c r="A1" i="27"/>
  <c r="G7" i="27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<sst xmlns="http://schemas.openxmlformats.org/spreadsheetml/2006/main" count="35" uniqueCount="35">
  <si>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</si>
  <si>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</si>
  <si>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</si>
  <si>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</si>
  <si>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</si>
  <si>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</si>
  <si>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</si>
  <si>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</si>
  <si>
    <t>patches</t>
  </si>
  <si>
    <t>demo</t>
  </si>
  <si>
    <t>Joe Hardin L&amp;D 3</t>
  </si>
  <si>
    <t>Emmett Sanders L&amp;D 4</t>
  </si>
  <si>
    <t>David D. Terry L&amp;D 6</t>
  </si>
  <si>
    <t>Murray L&amp;D 7</t>
  </si>
  <si>
    <t>Toad Suck Ferry L&amp;D 8</t>
  </si>
  <si>
    <t>Arthur V. Ormond L&amp;D 9</t>
  </si>
  <si>
    <t>Dardanelle L&amp;D 10</t>
  </si>
  <si>
    <t>Ozark-Jeta Taylor L&amp;D 12</t>
  </si>
  <si>
    <t>James W. Trimble L&amp;D 13</t>
  </si>
  <si>
    <t>W. D. Mayo L&amp;D 14</t>
  </si>
  <si>
    <t>Robert S. Kerr L&amp;D 15</t>
  </si>
  <si>
    <t>Eufaula</t>
  </si>
  <si>
    <t>Tenkiller Ferry</t>
  </si>
  <si>
    <t>Webbers Falls L&amp;D 16</t>
  </si>
  <si>
    <t>Juv.</t>
  </si>
  <si>
    <t>Adult</t>
  </si>
  <si>
    <t>MS River (N to Memphis)</t>
  </si>
  <si>
    <t>MS River (S to Vicksburg)</t>
  </si>
  <si>
    <t>Norrell L&amp;D 1</t>
  </si>
  <si>
    <t>Nimrod Dam</t>
  </si>
  <si>
    <t>Blue Mtn. Dam</t>
  </si>
  <si>
    <t>Wister Dam</t>
  </si>
  <si>
    <t>Montgomery Point L&amp;D (White R.)</t>
  </si>
  <si>
    <t>Wilbur D. Mills L&amp;D 2</t>
  </si>
  <si>
    <t>Col. Charles D. Maynard L&amp;D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</si>
</sst>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4" borderId="3" xfId="0" applyFill="1" applyBorder="1"/>
    <xf numFmtId="0" fontId="0" fillId="4" borderId="4" xfId="0" applyFill="1" applyBorder="1"/>
    <xf numFmtId="164" fontId="0" fillId="0" borderId="0" xfId="1" applyNumberFormat="1" applyFont="1"/>
    <xf numFmtId="164" fontId="0" fillId="4" borderId="2" xfId="1" applyNumberFormat="1" applyFont="1" applyFill="1" applyBorder="1"/>
    <xf numFmtId="164" fontId="0" fillId="4" borderId="3" xfId="1" applyNumberFormat="1" applyFont="1" applyFill="1" applyBorder="1"/>
    <xf numFmtId="164" fontId="2" fillId="0" borderId="0" xfId="1" applyNumberFormat="1" applyFont="1" applyAlignment="1">
      <alignment vertical="center"/>
    </xf>
    <xf numFmtId="164" fontId="0" fillId="0" borderId="0" xfId="1" applyNumberFormat="1" applyFont="1" applyFill="1" applyBorder="1"/>
  </cellXfs>
  <cellStyles count="2">
    <cellStyle name="Comma" xfId="1" builtinId="3"/>
    <cellStyle name="Normal" xfId="0" builtinId="0"/>
  </cellStyles>
  <dxfs count="2"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31"/>
  <sheetViews>
    <sheetView tabSelected="1" zoomScale="111" zoomScaleNormal="115" workbookViewId="0">
      <selection activeCell="J21" sqref="J21"/>
    </sheetView>
  </sheetViews>
  <sheetFormatPr defaultRowHeight="14.4"/>
  <cols>
    <col min="1" max="1" width="13.734375" style="2" customWidth="1"/>
    <col min="2" max="2" width="21" style="2" bestFit="1" customWidth="1"/>
    <col min="3" max="3" width="20.578125" style="10" customWidth="1"/>
    <col min="4" max="4" width="20.578125" style="6" customWidth="1"/>
  </cols>
  <sheetData>
    <row r="1" spans="1:252">
      <c r="A1" s="1" t="s">
        <v>0</v>
      </c>
      <c r="B1" s="2">
        <v>2</v>
      </c>
      <c r="C1" s="6"/>
    </row>
    <row r="2" spans="1:252">
      <c r="A2" s="1" t="s">
        <v>1</v>
      </c>
      <c r="B2" s="2">
        <v>23</v>
      </c>
      <c r="C2" s="6"/>
    </row>
    <row r="3" spans="1:252">
      <c r="A3" s="1" t="s">
        <v>2</v>
      </c>
      <c r="B3" s="2" t="s">
        <v>8</v>
      </c>
      <c r="C3" s="6"/>
    </row>
    <row r="4" spans="1:252">
      <c r="A4" s="1" t="s">
        <v>3</v>
      </c>
      <c r="B4" s="2" t="s">
        <v>9</v>
      </c>
      <c r="C4" s="6"/>
    </row>
    <row r="5" spans="1:252">
      <c r="A5" s="1" t="s">
        <v>6</v>
      </c>
      <c r="B5" s="2">
        <v>10</v>
      </c>
      <c r="C5" s="6"/>
    </row>
    <row r="6" spans="1:252">
      <c r="A6"/>
      <c r="B6"/>
      <c r="C6" s="7" t="s">
        <v>7</v>
      </c>
      <c r="D6" s="8"/>
      <c r="E6" s="4"/>
      <c r="F6" s="4"/>
      <c r="G6" s="4"/>
      <c r="H6" s="4"/>
      <c r="I6" s="5"/>
    </row>
    <row r="7" spans="1:252">
      <c r="A7" s="1" t="s">
        <v>4</v>
      </c>
      <c r="B7" s="1" t="s">
        <v>5</v>
      </c>
      <c r="C7" s="9" t="str">
        <f>IF(COLUMN(C$7)-2&lt;=$B$1, "stage_" &amp; COLUMN(C$7)-2, "")</f>
        <v>stage_1</v>
      </c>
      <c r="D7" s="9" t="str">
        <f t="shared" ref="D7:BO7" si="0">IF(COLUMN(D$7)-2&lt;=$B$1, "stage_" &amp; COLUMN(D$7)-2, "")</f>
        <v>stage_2</v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  <row r="8" spans="1:252">
      <c r="A8" s="2" t="s">
        <v>24</v>
      </c>
      <c r="B8" s="2" t="s">
        <v>26</v>
      </c>
      <c r="C8" s="6">
        <v>152871763968</v>
      </c>
      <c r="D8" s="6">
        <v>229307645952</v>
      </c>
    </row>
    <row r="9" spans="1:252">
      <c r="A9" s="2" t="s">
        <v>25</v>
      </c>
      <c r="B9" s="2" t="s">
        <v>27</v>
      </c>
      <c r="C9" s="6">
        <v>444966027264</v>
      </c>
      <c r="D9" s="6">
        <v>667449040896</v>
      </c>
    </row>
    <row r="10" spans="1:252">
      <c r="B10" s="2" t="s">
        <v>32</v>
      </c>
      <c r="C10" s="6">
        <v>195233132.63999999</v>
      </c>
      <c r="D10" s="6">
        <v>292849698.95999998</v>
      </c>
    </row>
    <row r="11" spans="1:252">
      <c r="B11" s="2" t="s">
        <v>28</v>
      </c>
      <c r="C11" s="6">
        <v>23849688.960000001</v>
      </c>
      <c r="D11" s="6">
        <v>35774533.439999998</v>
      </c>
    </row>
    <row r="12" spans="1:252">
      <c r="B12" s="2" t="s">
        <v>33</v>
      </c>
      <c r="C12" s="6">
        <v>1928507961.6000001</v>
      </c>
      <c r="D12" s="6">
        <v>2892761942.3999996</v>
      </c>
    </row>
    <row r="13" spans="1:252">
      <c r="B13" s="2" t="s">
        <v>10</v>
      </c>
      <c r="C13" s="6">
        <v>663368832</v>
      </c>
      <c r="D13" s="6">
        <v>995053248</v>
      </c>
    </row>
    <row r="14" spans="1:252">
      <c r="B14" s="2" t="s">
        <v>11</v>
      </c>
      <c r="C14" s="6">
        <v>810784128</v>
      </c>
      <c r="D14" s="6">
        <v>1216176192</v>
      </c>
    </row>
    <row r="15" spans="1:252">
      <c r="B15" s="2" t="s">
        <v>34</v>
      </c>
      <c r="C15" s="6">
        <v>631121736</v>
      </c>
      <c r="D15" s="6">
        <v>946682604</v>
      </c>
    </row>
    <row r="16" spans="1:252">
      <c r="B16" s="2" t="s">
        <v>12</v>
      </c>
      <c r="C16" s="6">
        <v>235337990.40000001</v>
      </c>
      <c r="D16" s="6">
        <v>353006985.60000002</v>
      </c>
    </row>
    <row r="17" spans="2:4">
      <c r="B17" s="2" t="s">
        <v>13</v>
      </c>
      <c r="C17" s="6">
        <v>28561713.600000001</v>
      </c>
      <c r="D17" s="6">
        <v>42842570.399999999</v>
      </c>
    </row>
    <row r="18" spans="2:4">
      <c r="B18" s="2" t="s">
        <v>29</v>
      </c>
      <c r="C18" s="6">
        <v>0</v>
      </c>
      <c r="D18" s="6">
        <v>0</v>
      </c>
    </row>
    <row r="19" spans="2:4">
      <c r="B19" s="2" t="s">
        <v>14</v>
      </c>
      <c r="C19" s="6">
        <v>73641837.600000009</v>
      </c>
      <c r="D19" s="6">
        <v>110462756.39999999</v>
      </c>
    </row>
    <row r="20" spans="2:4">
      <c r="B20" s="2" t="s">
        <v>15</v>
      </c>
      <c r="C20" s="6">
        <v>46330521.600000001</v>
      </c>
      <c r="D20" s="6">
        <v>69495782.400000006</v>
      </c>
    </row>
    <row r="21" spans="2:4">
      <c r="B21" s="2" t="s">
        <v>30</v>
      </c>
      <c r="C21" s="6">
        <v>0</v>
      </c>
      <c r="D21" s="6">
        <v>0</v>
      </c>
    </row>
    <row r="22" spans="2:4">
      <c r="B22" s="2" t="s">
        <v>16</v>
      </c>
      <c r="C22" s="6">
        <v>0</v>
      </c>
      <c r="D22" s="6">
        <v>0</v>
      </c>
    </row>
    <row r="23" spans="2:4">
      <c r="B23" s="2" t="s">
        <v>17</v>
      </c>
      <c r="C23" s="6">
        <v>0</v>
      </c>
      <c r="D23" s="6">
        <v>0</v>
      </c>
    </row>
    <row r="24" spans="2:4">
      <c r="B24" s="2" t="s">
        <v>18</v>
      </c>
      <c r="C24" s="6">
        <v>0</v>
      </c>
      <c r="D24" s="6">
        <v>0</v>
      </c>
    </row>
    <row r="25" spans="2:4">
      <c r="B25" s="2" t="s">
        <v>31</v>
      </c>
      <c r="C25" s="6">
        <v>0</v>
      </c>
      <c r="D25" s="6">
        <v>0</v>
      </c>
    </row>
    <row r="26" spans="2:4">
      <c r="B26" s="2" t="s">
        <v>19</v>
      </c>
      <c r="C26" s="6">
        <v>0</v>
      </c>
      <c r="D26" s="6">
        <v>0</v>
      </c>
    </row>
    <row r="27" spans="2:4">
      <c r="B27" s="2" t="s">
        <v>20</v>
      </c>
      <c r="C27" s="6">
        <v>0</v>
      </c>
      <c r="D27" s="6">
        <v>0</v>
      </c>
    </row>
    <row r="28" spans="2:4">
      <c r="B28" s="2" t="s">
        <v>21</v>
      </c>
      <c r="C28" s="6">
        <v>0</v>
      </c>
      <c r="D28" s="6">
        <v>0</v>
      </c>
    </row>
    <row r="29" spans="2:4">
      <c r="B29" s="2" t="s">
        <v>22</v>
      </c>
      <c r="C29" s="6">
        <v>0</v>
      </c>
      <c r="D29" s="6">
        <v>0</v>
      </c>
    </row>
    <row r="30" spans="2:4">
      <c r="B30" s="2" t="s">
        <v>23</v>
      </c>
      <c r="C30" s="6">
        <v>0</v>
      </c>
      <c r="D30" s="6">
        <v>0</v>
      </c>
    </row>
    <row r="31" spans="2:4">
      <c r="C31" s="6"/>
    </row>
  </sheetData>
  <conditionalFormatting sqref="C7:IR7">
    <cfRule type="beginsWith" dxfId="1" priority="2" operator="beginsWith" text="stage">
      <formula>LEFT(C7,LEN("stage"))="stage"</formula>
    </cfRule>
  </conditionalFormatting>
  <conditionalFormatting sqref="C8:IR1048576">
    <cfRule type="expression" dxfId="0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11C8C-17E4-4021-B785-10A10AF0F14B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500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9DC1-DF55-4D81-BF72-F3CD5F39E3A5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600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63C1-37EC-435C-9A3A-843F559C6B00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400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642B-48E8-4BF4-A535-DD6E33840224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200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A9DD5-6EFF-419E-AE00-79CEE542FFC5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50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CF68-74CC-4293-B471-123671C6CE10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100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6345-660E-4261-9986-E5D1053DD333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80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B68F3-FE96-4661-963F-80B07B388150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50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3345F-94F8-4A6D-B6FC-3D69F0B82B12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40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3AA0F-04B4-4A81-B804-97B7F8581F0D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150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B7B7F-A53B-4D71-9C11-44C7BA34DAA4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3C19-A94F-4D7D-BEDF-E7A8450949D3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20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338-5F6B-468C-A5B6-72DFE9601D3C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30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CBD8B-8068-45E5-9600-C204DBC10F0F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065B-72CD-42E3-AE3E-15EBC2B848BF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15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F2A87-A850-4908-AC65-6CDEB7BA50FB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10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DB24-0CD6-458F-BD05-9FACC1632321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15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048BB-4C7E-4071-9B5C-03B0D079FB74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64F28-CD29-4102-A03C-6369A86E621D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5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B97D6-0B6D-46E1-A814-F76D2C00C84A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5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0655E-5EBA-4D25-BA7F-0F01ABD8AA9C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30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B4CA-B4E2-4244-A5AB-FB5723FC7CFF}">
  <dimension ref="A1:B2"/>
  <sheetViews>
    <sheetView workbookViewId="0">
      <selection activeCell="B1" sqref="B1"/>
    </sheetView>
  </sheetViews>
  <sheetFormatPr defaultRowHeight="14.4"/>
  <sheetData>
    <row r="1" spans="1:2">
      <c r="A1">
        <v>0</v>
      </c>
      <c r="B1">
        <v>15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3EBF-A59D-4426-BF95-51A29B373A79}">
  <dimension ref="A1:B2"/>
  <sheetViews>
    <sheetView workbookViewId="0">
      <selection activeCell="B2" sqref="B2"/>
    </sheetView>
  </sheetViews>
  <sheetFormatPr defaultRowHeight="14.4"/>
  <sheetData>
    <row r="1" spans="1:2">
      <c r="A1">
        <v>0</v>
      </c>
      <c r="B1">
        <v>20</v>
      </c>
    </row>
    <row r="2" spans="1:2">
      <c r="A2">
        <v>0.61</v>
      </c>
      <c r="B2">
        <v>0.61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A293-9C71-4BAD-9497-0103E15DA875}">
  <dimension ref="A1:W23"/>
  <sheetViews>
    <sheetView workbookViewId="0">
      <selection sqref="A1:XFD1"/>
    </sheetView>
  </sheetViews>
  <sheetFormatPr defaultRowHeight="14.4"/>
  <cols>
    <col min="1" max="15" width="5.578125" customWidth="1"/>
    <col min="16" max="23" width="10.578125" customWidth="1"/>
  </cols>
  <sheetData>
    <row r="1" spans="1:23">
      <c r="A1">
        <f>1-SUM(A2:A23)</f>
        <v>0.8196</v>
      </c>
      <c r="B1">
        <v>2.0000000000000001E-4</v>
      </c>
      <c r="C1">
        <v>2.0000000000000001E-4</v>
      </c>
      <c r="D1">
        <v>2.0000000000000001E-4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</row>
    <row r="2" spans="1:23">
      <c r="A2">
        <v>0.15</v>
      </c>
      <c r="B2">
        <f>1-SUM(B1,B3:B23)</f>
        <v>0.96940000000000004</v>
      </c>
      <c r="C2">
        <v>0.1</v>
      </c>
      <c r="D2">
        <v>0.28000000000000003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>
      <c r="A3">
        <v>0.03</v>
      </c>
      <c r="B3">
        <v>0.03</v>
      </c>
      <c r="C3">
        <f>1-SUM(C1:C2,C4:C23)</f>
        <v>0.87959999999999994</v>
      </c>
      <c r="D3">
        <v>0.57999999999999996</v>
      </c>
      <c r="E3">
        <v>2.0000000000000001E-4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>
      <c r="A4">
        <v>2.0000000000000001E-4</v>
      </c>
      <c r="B4">
        <v>2.0000000000000001E-4</v>
      </c>
      <c r="C4">
        <v>2.0000000000000001E-4</v>
      </c>
      <c r="D4">
        <f>1-SUM(D1:D3, D5:D23)</f>
        <v>3.9800000000000058E-2</v>
      </c>
      <c r="E4">
        <v>2.0000000000000001E-4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>
      <c r="A5">
        <v>2.0000000000000001E-4</v>
      </c>
      <c r="B5">
        <v>2.0000000000000001E-4</v>
      </c>
      <c r="C5">
        <v>0.02</v>
      </c>
      <c r="D5">
        <v>0.1</v>
      </c>
      <c r="E5">
        <f>1-SUM(E1:E4,E6:E23)</f>
        <v>0.96709999999999996</v>
      </c>
      <c r="F5">
        <v>0.02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>
      <c r="A6">
        <v>0</v>
      </c>
      <c r="B6">
        <v>0</v>
      </c>
      <c r="C6">
        <v>0</v>
      </c>
      <c r="D6">
        <v>0</v>
      </c>
      <c r="E6">
        <v>0.03</v>
      </c>
      <c r="F6">
        <f>1-SUM(F1:F5,F7:F23)</f>
        <v>0.94750000000000001</v>
      </c>
      <c r="G6">
        <v>0.02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>
      <c r="A7">
        <v>0</v>
      </c>
      <c r="B7">
        <v>0</v>
      </c>
      <c r="C7">
        <v>0</v>
      </c>
      <c r="D7">
        <v>0</v>
      </c>
      <c r="E7">
        <v>2.5000000000000001E-3</v>
      </c>
      <c r="F7">
        <v>0.03</v>
      </c>
      <c r="G7">
        <f>1-SUM(G1:G6,G8:G23)</f>
        <v>0.94750000000000001</v>
      </c>
      <c r="H7">
        <v>0.02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>
        <v>0</v>
      </c>
      <c r="B8">
        <v>0</v>
      </c>
      <c r="C8">
        <v>0</v>
      </c>
      <c r="D8">
        <v>0</v>
      </c>
      <c r="E8">
        <v>0</v>
      </c>
      <c r="F8">
        <v>2.5000000000000001E-3</v>
      </c>
      <c r="G8">
        <v>0.03</v>
      </c>
      <c r="H8">
        <f>1-SUM(H1:H7,H9:H23)</f>
        <v>0.94750000000000001</v>
      </c>
      <c r="I8">
        <v>0.02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2.5000000000000001E-3</v>
      </c>
      <c r="H9">
        <v>0.03</v>
      </c>
      <c r="I9">
        <f>1-SUM(I1:I8,I10:I23)</f>
        <v>0.94748999999999994</v>
      </c>
      <c r="J9">
        <v>0.02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2.5000000000000001E-3</v>
      </c>
      <c r="I10">
        <v>0.03</v>
      </c>
      <c r="J10">
        <f>1-SUM(J1:J9,J11:J23)</f>
        <v>0.94748999999999994</v>
      </c>
      <c r="K10">
        <v>0.03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1.0000000000000001E-5</v>
      </c>
      <c r="J11">
        <v>1.0000000000000001E-5</v>
      </c>
      <c r="K11">
        <f>1-SUM(K1:K10,K12:K23)</f>
        <v>0.97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2.5000000000000001E-3</v>
      </c>
      <c r="J12">
        <v>0.03</v>
      </c>
      <c r="K12">
        <v>0</v>
      </c>
      <c r="L12">
        <f>1-SUM(L1:L11,L13:L23)</f>
        <v>0.96499999999999997</v>
      </c>
      <c r="M12">
        <v>0.02</v>
      </c>
      <c r="N12">
        <v>0.03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2.5000000000000001E-3</v>
      </c>
      <c r="K13">
        <v>0</v>
      </c>
      <c r="L13">
        <v>0.03</v>
      </c>
      <c r="M13">
        <f>1-SUM(M1:M12,M14:M23)</f>
        <v>0.94748999999999994</v>
      </c>
      <c r="N13">
        <v>0</v>
      </c>
      <c r="O13">
        <v>0.02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1.0000000000000001E-5</v>
      </c>
      <c r="N14">
        <f>1-SUM(N1:N13,N15:N23)</f>
        <v>0.97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5.0000000000000001E-3</v>
      </c>
      <c r="M15">
        <v>0.03</v>
      </c>
      <c r="N15">
        <v>0</v>
      </c>
      <c r="O15">
        <f>1-SUM(O1:O14,O16:O23)</f>
        <v>0.94750000000000001</v>
      </c>
      <c r="P15">
        <v>0.02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2.5000000000000001E-3</v>
      </c>
      <c r="N16">
        <v>0</v>
      </c>
      <c r="O16">
        <v>0.03</v>
      </c>
      <c r="P16">
        <f>1-SUM(P1:P15,P17:P23)</f>
        <v>0.94750000000000001</v>
      </c>
      <c r="Q16">
        <v>0.02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2.5000000000000001E-3</v>
      </c>
      <c r="P17">
        <v>0.03</v>
      </c>
      <c r="Q17">
        <f>1-SUM(Q1:Q16,Q18:Q23)</f>
        <v>0.94499</v>
      </c>
      <c r="R17">
        <v>0.03</v>
      </c>
      <c r="S17">
        <v>0.02</v>
      </c>
      <c r="T17">
        <v>0</v>
      </c>
      <c r="U17">
        <v>0</v>
      </c>
      <c r="V17">
        <v>0</v>
      </c>
      <c r="W17">
        <v>0</v>
      </c>
    </row>
    <row r="18" spans="1:2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1.0000000000000001E-5</v>
      </c>
      <c r="R18">
        <f>1-SUM(R1:R17,R19:R23)</f>
        <v>0.97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2.5000000000000001E-3</v>
      </c>
      <c r="Q19">
        <v>0.03</v>
      </c>
      <c r="R19">
        <v>0</v>
      </c>
      <c r="S19">
        <f>1-SUM(S1:S18,S20:S23)</f>
        <v>0.92700000000000005</v>
      </c>
      <c r="T19">
        <v>0.02</v>
      </c>
      <c r="U19">
        <v>0</v>
      </c>
      <c r="V19">
        <v>0</v>
      </c>
      <c r="W19">
        <v>0</v>
      </c>
    </row>
    <row r="20" spans="1:2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5.0000000000000001E-3</v>
      </c>
      <c r="R20">
        <v>0</v>
      </c>
      <c r="S20">
        <v>0.05</v>
      </c>
      <c r="T20">
        <f>1-SUM(T1:T19,T21:T23)</f>
        <v>0.95</v>
      </c>
      <c r="U20">
        <v>0.02</v>
      </c>
      <c r="V20">
        <v>0.02</v>
      </c>
      <c r="W20">
        <v>0.02</v>
      </c>
    </row>
    <row r="21" spans="1:2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1E-3</v>
      </c>
      <c r="T21">
        <v>0.01</v>
      </c>
      <c r="U21">
        <f>1-SUM(U1:U20,U22:U23)</f>
        <v>0.97799999999999998</v>
      </c>
      <c r="V21">
        <v>1E-3</v>
      </c>
      <c r="W21">
        <v>1E-3</v>
      </c>
    </row>
    <row r="22" spans="1:2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1E-3</v>
      </c>
      <c r="T22">
        <v>0.01</v>
      </c>
      <c r="U22">
        <v>1E-3</v>
      </c>
      <c r="V22">
        <f>1-SUM(V1:V21,V23)</f>
        <v>0.97799999999999998</v>
      </c>
      <c r="W22">
        <v>1E-3</v>
      </c>
    </row>
    <row r="23" spans="1:2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1E-3</v>
      </c>
      <c r="T23">
        <v>0.01</v>
      </c>
      <c r="U23">
        <v>1E-3</v>
      </c>
      <c r="V23">
        <v>1E-3</v>
      </c>
      <c r="W23">
        <f>1-SUM(W1:W22)</f>
        <v>0.97799999999999998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792E-1599-4050-B535-94F5B1B51066}">
  <dimension ref="A1:W23"/>
  <sheetViews>
    <sheetView workbookViewId="0">
      <selection sqref="A1:A1048576"/>
    </sheetView>
  </sheetViews>
  <sheetFormatPr defaultColWidth="10.578125" defaultRowHeight="14.4"/>
  <cols>
    <col min="1" max="6" width="5.578125" customWidth="1"/>
  </cols>
  <sheetData>
    <row r="1" spans="1:23">
      <c r="A1">
        <f>1-SUM(A2:A23)</f>
        <v>0.81919999999999993</v>
      </c>
      <c r="B1">
        <v>0.1</v>
      </c>
      <c r="C1">
        <v>0.06</v>
      </c>
      <c r="D1">
        <v>0.05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</row>
    <row r="2" spans="1:23">
      <c r="A2">
        <v>0.1</v>
      </c>
      <c r="B2">
        <f>1-SUM(B1,B3:B23)</f>
        <v>0.81919999999999993</v>
      </c>
      <c r="C2">
        <v>0.04</v>
      </c>
      <c r="D2">
        <v>0.05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>
      <c r="A3">
        <v>7.4999999999999997E-2</v>
      </c>
      <c r="B3">
        <v>7.4999999999999997E-2</v>
      </c>
      <c r="C3">
        <f>1-SUM(C1:C2,C4:C23)</f>
        <v>0.81919999999999993</v>
      </c>
      <c r="D3">
        <v>0.35</v>
      </c>
      <c r="E3">
        <v>5.0000000000000001E-3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>
      <c r="A4">
        <v>4.0000000000000002E-4</v>
      </c>
      <c r="B4">
        <v>4.0000000000000002E-4</v>
      </c>
      <c r="C4">
        <v>4.0000000000000002E-4</v>
      </c>
      <c r="D4">
        <f>1-SUM(D1:D3, D5:D23)</f>
        <v>5.0000000000000044E-2</v>
      </c>
      <c r="E4">
        <v>4.0000000000000001E-3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>
      <c r="A5">
        <v>5.0000000000000001E-3</v>
      </c>
      <c r="B5">
        <v>5.0000000000000001E-3</v>
      </c>
      <c r="C5">
        <v>7.4999999999999997E-2</v>
      </c>
      <c r="D5">
        <v>0.35</v>
      </c>
      <c r="E5">
        <f>1-SUM(E1:E4,E6:E23)</f>
        <v>0.91059999999999997</v>
      </c>
      <c r="F5">
        <v>0.02</v>
      </c>
      <c r="G5">
        <v>1.4999999999999999E-2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>
      <c r="A6">
        <v>4.0000000000000002E-4</v>
      </c>
      <c r="B6">
        <v>4.0000000000000002E-4</v>
      </c>
      <c r="C6">
        <v>5.0000000000000001E-3</v>
      </c>
      <c r="D6">
        <v>0.125</v>
      </c>
      <c r="E6">
        <v>7.4999999999999997E-2</v>
      </c>
      <c r="F6">
        <f>1-SUM(F1:F5,F7:F23)</f>
        <v>0.89959999999999996</v>
      </c>
      <c r="G6">
        <v>5.0000000000000001E-3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>
      <c r="A7">
        <v>0</v>
      </c>
      <c r="B7">
        <v>0</v>
      </c>
      <c r="C7">
        <v>4.0000000000000002E-4</v>
      </c>
      <c r="D7">
        <v>2.5000000000000001E-2</v>
      </c>
      <c r="E7">
        <v>5.0000000000000001E-3</v>
      </c>
      <c r="F7">
        <v>7.4999999999999997E-2</v>
      </c>
      <c r="G7">
        <f>1-SUM(G1:G6,G8:G23)</f>
        <v>0.89959999999999996</v>
      </c>
      <c r="H7">
        <v>0.02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>
        <v>0</v>
      </c>
      <c r="B8">
        <v>0</v>
      </c>
      <c r="C8">
        <v>0</v>
      </c>
      <c r="D8">
        <v>0</v>
      </c>
      <c r="E8">
        <v>4.0000000000000002E-4</v>
      </c>
      <c r="F8">
        <v>5.0000000000000001E-3</v>
      </c>
      <c r="G8">
        <v>7.4999999999999997E-2</v>
      </c>
      <c r="H8">
        <f>1-SUM(H1:H7,H9:H23)</f>
        <v>0.89959999999999996</v>
      </c>
      <c r="I8">
        <v>0.01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>
        <v>0</v>
      </c>
      <c r="B9">
        <v>0</v>
      </c>
      <c r="C9">
        <v>0</v>
      </c>
      <c r="D9">
        <v>0</v>
      </c>
      <c r="E9">
        <v>0</v>
      </c>
      <c r="F9">
        <v>4.0000000000000002E-4</v>
      </c>
      <c r="G9">
        <v>5.0000000000000001E-3</v>
      </c>
      <c r="H9">
        <v>7.4999999999999997E-2</v>
      </c>
      <c r="I9">
        <f>1-SUM(I1:I8,I10:I23)</f>
        <v>0.90959999999999996</v>
      </c>
      <c r="J9">
        <v>0.02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4.0000000000000002E-4</v>
      </c>
      <c r="H10">
        <v>5.0000000000000001E-3</v>
      </c>
      <c r="I10">
        <v>7.4999999999999997E-2</v>
      </c>
      <c r="J10">
        <f>1-SUM(J1:J9,J11:J23)</f>
        <v>0.89959900000000004</v>
      </c>
      <c r="K10">
        <v>0.02</v>
      </c>
      <c r="L10">
        <v>0.02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9.9999999999999995E-7</v>
      </c>
      <c r="K11">
        <f>1-SUM(K1:K10,K12:K23)</f>
        <v>0.98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4.0000000000000002E-4</v>
      </c>
      <c r="I12">
        <v>5.0000000000000001E-3</v>
      </c>
      <c r="J12">
        <v>7.4999999999999997E-2</v>
      </c>
      <c r="K12">
        <v>0</v>
      </c>
      <c r="L12">
        <f>1-SUM(L1:L11,L13:L23)</f>
        <v>0.9</v>
      </c>
      <c r="M12">
        <v>0.01</v>
      </c>
      <c r="N12">
        <v>0.03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4.0000000000000002E-4</v>
      </c>
      <c r="J13">
        <v>5.0000000000000001E-3</v>
      </c>
      <c r="K13">
        <v>0</v>
      </c>
      <c r="L13">
        <v>7.4999999999999997E-2</v>
      </c>
      <c r="M13">
        <f>1-SUM(M1:M12,M14:M23)</f>
        <v>0.90959900000000005</v>
      </c>
      <c r="N13">
        <v>0</v>
      </c>
      <c r="O13">
        <v>0.01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9.9999999999999995E-7</v>
      </c>
      <c r="N14">
        <f>1-SUM(N1:N13,N15:N23)</f>
        <v>0.97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4.0000000000000002E-4</v>
      </c>
      <c r="K15">
        <v>0</v>
      </c>
      <c r="L15">
        <v>5.0000000000000001E-3</v>
      </c>
      <c r="M15">
        <v>7.4999999999999997E-2</v>
      </c>
      <c r="N15">
        <v>0</v>
      </c>
      <c r="O15">
        <f>1-SUM(O1:O14,O16:O23)</f>
        <v>0.90956000000000004</v>
      </c>
      <c r="P15">
        <v>0.02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5.0000000000000001E-3</v>
      </c>
      <c r="N16">
        <v>0</v>
      </c>
      <c r="O16">
        <v>7.4999999999999997E-2</v>
      </c>
      <c r="P16">
        <f>1-SUM(P1:P15,P17:P23)</f>
        <v>0.89959999999999996</v>
      </c>
      <c r="Q16">
        <v>0.01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4.0000000000000002E-4</v>
      </c>
      <c r="N17">
        <v>0</v>
      </c>
      <c r="O17">
        <v>5.0000000000000001E-3</v>
      </c>
      <c r="P17">
        <v>7.4999999999999997E-2</v>
      </c>
      <c r="Q17">
        <f>1-SUM(Q1:Q16,Q18:Q23)</f>
        <v>0.90959900000000005</v>
      </c>
      <c r="R17">
        <v>0.03</v>
      </c>
      <c r="S17">
        <v>2.5000000000000001E-2</v>
      </c>
      <c r="T17">
        <v>0</v>
      </c>
      <c r="U17">
        <v>0</v>
      </c>
      <c r="V17">
        <v>0</v>
      </c>
      <c r="W17">
        <v>0</v>
      </c>
    </row>
    <row r="18" spans="1:2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9.9999999999999995E-7</v>
      </c>
      <c r="R18">
        <f>1-SUM(R1:R17,R19:R23)</f>
        <v>0.97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4.4000000000000002E-4</v>
      </c>
      <c r="P19">
        <v>5.0000000000000001E-3</v>
      </c>
      <c r="Q19">
        <v>7.4999999999999997E-2</v>
      </c>
      <c r="R19">
        <v>0</v>
      </c>
      <c r="S19">
        <f>1-SUM(S1:S18,S20:S23)</f>
        <v>0.89500000000000002</v>
      </c>
      <c r="T19">
        <v>5.0000000000000001E-3</v>
      </c>
      <c r="U19">
        <v>0</v>
      </c>
      <c r="V19">
        <v>0</v>
      </c>
      <c r="W19">
        <v>0</v>
      </c>
    </row>
    <row r="20" spans="1:2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4.0000000000000002E-4</v>
      </c>
      <c r="Q20">
        <v>5.0000000000000001E-3</v>
      </c>
      <c r="R20">
        <v>0</v>
      </c>
      <c r="S20">
        <v>7.4999999999999997E-2</v>
      </c>
      <c r="T20">
        <f>1-SUM(T1:T19,T21:T23)</f>
        <v>0.91999799999999998</v>
      </c>
      <c r="U20">
        <v>0.03</v>
      </c>
      <c r="V20">
        <v>0.03</v>
      </c>
      <c r="W20">
        <v>0.03</v>
      </c>
    </row>
    <row r="21" spans="1:2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9.9999999999999995E-7</v>
      </c>
      <c r="U21">
        <f>1-SUM(U1:U20,U22:U23)</f>
        <v>0.97</v>
      </c>
      <c r="V21">
        <v>0</v>
      </c>
      <c r="W21">
        <v>0</v>
      </c>
    </row>
    <row r="22" spans="1:2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9.9999999999999995E-7</v>
      </c>
      <c r="U22">
        <v>0</v>
      </c>
      <c r="V22">
        <f>1-SUM(V1:V21,V23)</f>
        <v>0.97</v>
      </c>
      <c r="W22">
        <v>0</v>
      </c>
    </row>
    <row r="23" spans="1:2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4.0000000000000002E-4</v>
      </c>
      <c r="R23">
        <v>0</v>
      </c>
      <c r="S23">
        <v>5.0000000000000001E-3</v>
      </c>
      <c r="T23">
        <v>7.4999999999999997E-2</v>
      </c>
      <c r="U23">
        <v>0</v>
      </c>
      <c r="V23">
        <v>0</v>
      </c>
      <c r="W23">
        <f>1-SUM(W1:W22)</f>
        <v>0.97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c7faf10-95cf-4b08-aa35-4e5ec9649a6d">
      <Terms xmlns="http://schemas.microsoft.com/office/infopath/2007/PartnerControls"/>
    </lcf76f155ced4ddcb4097134ff3c332f>
    <TaxCatchAll xmlns="31062a0d-ede8-4112-b4bb-00a9c1bc8e1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6" ma:contentTypeDescription="Create a new document." ma:contentTypeScope="" ma:versionID="648ae21122da69ae7dfdbeaff919bffe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a8b932efa105142e2a7486fe9cd6c3e5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54E2EC-EC09-4B15-A9D3-5DD0FA4A5E18}">
  <ds:schemaRefs>
    <ds:schemaRef ds:uri="http://schemas.microsoft.com/office/2006/metadata/properties"/>
    <ds:schemaRef ds:uri="http://schemas.microsoft.com/office/infopath/2007/PartnerControls"/>
    <ds:schemaRef ds:uri="ac7faf10-95cf-4b08-aa35-4e5ec9649a6d"/>
    <ds:schemaRef ds:uri="31062a0d-ede8-4112-b4bb-00a9c1bc8e16"/>
  </ds:schemaRefs>
</ds:datastoreItem>
</file>

<file path=customXml/itemProps2.xml><?xml version="1.0" encoding="utf-8"?>
<ds:datastoreItem xmlns:ds="http://schemas.openxmlformats.org/officeDocument/2006/customXml" ds:itemID="{4834D189-BD05-488D-A492-045B805644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7faf10-95cf-4b08-aa35-4e5ec9649a6d"/>
    <ds:schemaRef ds:uri="586d6ec5-3513-4163-b61b-3336b8196cc2"/>
    <ds:schemaRef ds:uri="31062a0d-ede8-4112-b4bb-00a9c1bc8e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metadata</vt:lpstr>
      <vt:lpstr>patch_1_demo</vt:lpstr>
      <vt:lpstr>patch_2_demo</vt:lpstr>
      <vt:lpstr>patch_3_demo</vt:lpstr>
      <vt:lpstr>patch_4_demo</vt:lpstr>
      <vt:lpstr>patch_5_demo</vt:lpstr>
      <vt:lpstr>patch_6_demo</vt:lpstr>
      <vt:lpstr>patch_7_demo</vt:lpstr>
      <vt:lpstr>patch_8_demo</vt:lpstr>
      <vt:lpstr>patch_9_demo</vt:lpstr>
      <vt:lpstr>patch_10_demo</vt:lpstr>
      <vt:lpstr>patch_11_demo</vt:lpstr>
      <vt:lpstr>patch_12_demo</vt:lpstr>
      <vt:lpstr>patch_13_demo</vt:lpstr>
      <vt:lpstr>patch_14_demo</vt:lpstr>
      <vt:lpstr>patch_15_demo</vt:lpstr>
      <vt:lpstr>patch_16_demo</vt:lpstr>
      <vt:lpstr>patch_17_demo</vt:lpstr>
      <vt:lpstr>patch_18_demo</vt:lpstr>
      <vt:lpstr>patch_19_demo</vt:lpstr>
      <vt:lpstr>patch_20_demo</vt:lpstr>
      <vt:lpstr>patch_21_demo</vt:lpstr>
      <vt:lpstr>patch_22_demo</vt:lpstr>
      <vt:lpstr>patch_23_demo</vt:lpstr>
      <vt:lpstr>stage_1_move</vt:lpstr>
      <vt:lpstr>stage_2_move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2025-07-30T17:11:09Z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0x0101007CC9057CFD2BEC41ADBD840847EFB873</vt:lpwstr>
  </property>
  <property fmtid="{D5CDD505-2E9C-101B-9397-08002B2CF9AE}" pid="3" name="MediaServiceImageTags">
    <vt:lpwstr/>
  </property>
</Properties>
</file>