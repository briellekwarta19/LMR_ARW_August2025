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oimspp.sharepoint.com/sites/doi-Lower-Mississippi-River-FWCO-Staff-/Shared Documents/Invasive Carp/Frame_and_Process_Docs/_LMRARW_DecisonModel/3. SPMM/"/>
    </mc:Choice>
  </mc:AlternateContent>
  <xr:revisionPtr revIDLastSave="283" documentId="8_{0F27C045-F9ED-4C6D-B496-98C3798A38D9}" xr6:coauthVersionLast="47" xr6:coauthVersionMax="47" xr10:uidLastSave="{D135DD47-8F26-4A55-9317-AB0584A2F71D}"/>
  <bookViews>
    <workbookView xWindow="-405" yWindow="-16470" windowWidth="29040" windowHeight="15720" firstSheet="17" activeTab="24" xr2:uid="{00000000-000D-0000-FFFF-FFFF00000000}"/>
  </bookViews>
  <sheets>
    <sheet name="metadata" sheetId="1" r:id="rId1"/>
    <sheet name="patch_1_demo" sheetId="2" r:id="rId2"/>
    <sheet name="patch_2_demo" sheetId="3" r:id="rId3"/>
    <sheet name="patch_3_demo" sheetId="4" r:id="rId4"/>
    <sheet name="patch_4_demo" sheetId="5" r:id="rId5"/>
    <sheet name="patch_5_demo" sheetId="6" r:id="rId6"/>
    <sheet name="patch_6_demo" sheetId="7" r:id="rId7"/>
    <sheet name="patch_7_demo" sheetId="8" r:id="rId8"/>
    <sheet name="patch_8_demo" sheetId="9" r:id="rId9"/>
    <sheet name="patch_9_demo" sheetId="10" r:id="rId10"/>
    <sheet name="patch_10_demo" sheetId="11" r:id="rId11"/>
    <sheet name="patch_11_demo" sheetId="12" r:id="rId12"/>
    <sheet name="patch_12_demo" sheetId="13" r:id="rId13"/>
    <sheet name="patch_13_demo" sheetId="14" r:id="rId14"/>
    <sheet name="patch_14_demo" sheetId="15" r:id="rId15"/>
    <sheet name="patch_15_demo" sheetId="16" r:id="rId16"/>
    <sheet name="patch_16_demo" sheetId="17" r:id="rId17"/>
    <sheet name="patch_17_demo" sheetId="18" r:id="rId18"/>
    <sheet name="patch_18_demo" sheetId="19" r:id="rId19"/>
    <sheet name="patch_19_demo" sheetId="20" r:id="rId20"/>
    <sheet name="patch_20_demo" sheetId="21" r:id="rId21"/>
    <sheet name="patch_21_demo" sheetId="22" r:id="rId22"/>
    <sheet name="patch_22_demo" sheetId="23" r:id="rId23"/>
    <sheet name="patch_23_demo" sheetId="24" r:id="rId24"/>
    <sheet name="stage_1_move" sheetId="25" r:id="rId25"/>
    <sheet name="stage_2_move" sheetId="26" r:id="rId2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metadata!$B$3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C7" i="1"/>
</calcChain>
</file>

<file path=xl/sharedStrings.xml><?xml version="1.0" encoding="utf-8"?>
<sst xmlns="http://schemas.openxmlformats.org/spreadsheetml/2006/main" count="35" uniqueCount="35">
  <si>
    <t>n_stages</t>
  </si>
  <si>
    <t>n_patches</t>
  </si>
  <si>
    <t>group_by</t>
  </si>
  <si>
    <t>lh_order</t>
  </si>
  <si>
    <t>stage_names</t>
  </si>
  <si>
    <t>patch_names</t>
  </si>
  <si>
    <t>n_timesteps</t>
  </si>
  <si>
    <t>Stage Abundances (headers auto-populate from n_stages value above)</t>
  </si>
  <si>
    <t>patches</t>
  </si>
  <si>
    <t>demo</t>
  </si>
  <si>
    <t>juvenile</t>
  </si>
  <si>
    <t>adult</t>
  </si>
  <si>
    <t>MS River &amp; Lower L&amp;Ds</t>
  </si>
  <si>
    <t>Wilbur D. Mills &amp; Lock 2</t>
  </si>
  <si>
    <t>Joe Hardin L&amp;D 3</t>
  </si>
  <si>
    <t>Emmett Sanders L&amp;D 4</t>
  </si>
  <si>
    <t>L&amp;D 5</t>
  </si>
  <si>
    <t>David D. Terry L&amp;D 6</t>
  </si>
  <si>
    <t>Murray L&amp;D 7</t>
  </si>
  <si>
    <t>Toad Suck Ferry L&amp;D 8</t>
  </si>
  <si>
    <t>Arthur V. Ormond L&amp;D 9</t>
  </si>
  <si>
    <t>Dardanelle L&amp;D 10</t>
  </si>
  <si>
    <t>Ozark-Jeta Taylor L&amp;D 12</t>
  </si>
  <si>
    <t>James W. Trimble L&amp;D 13</t>
  </si>
  <si>
    <t>W. D. Mayo L&amp;D 14</t>
  </si>
  <si>
    <t>Robert S. Kerr L&amp;D 15</t>
  </si>
  <si>
    <t>Eufaula</t>
  </si>
  <si>
    <t>Tenkiller Ferry</t>
  </si>
  <si>
    <t>Webbers Falls L&amp;D 16</t>
  </si>
  <si>
    <t>Fort Gibson</t>
  </si>
  <si>
    <t>Keystone Lake</t>
  </si>
  <si>
    <t>Kaw Lake</t>
  </si>
  <si>
    <t>Chouteau L&amp;D 17</t>
  </si>
  <si>
    <t>Newt Graham L&amp;D 18</t>
  </si>
  <si>
    <t>Oologah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</si>
</sst>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2" fillId="0" borderId="0" xfId="0" applyFont="1" applyAlignment="1">
      <alignment vertical="center"/>
    </xf>
    <xf numFmtId="0" fontId="0" fillId="0" borderId="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2" fontId="0" fillId="0" borderId="0" xfId="0" applyNumberFormat="1" applyAlignment="1">
      <alignment horizontal="center" vertical="center"/>
    </xf>
    <xf numFmtId="2" fontId="0" fillId="0" borderId="0" xfId="0" applyNumberFormat="1"/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</xdr:row>
          <xdr:rowOff>7620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Param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R30"/>
  <sheetViews>
    <sheetView zoomScale="111" zoomScaleNormal="115" workbookViewId="0">
      <selection activeCell="G17" sqref="G17"/>
    </sheetView>
  </sheetViews>
  <sheetFormatPr defaultRowHeight="14.4"/>
  <cols>
    <col min="1" max="1" width="13.734375" style="2" customWidth="1"/>
    <col min="2" max="2" width="21" style="2" bestFit="1" customWidth="1"/>
    <col min="3" max="3" width="8.83984375" style="4"/>
  </cols>
  <sheetData>
    <row r="1" spans="1:252">
      <c r="A1" s="1" t="s">
        <v>0</v>
      </c>
      <c r="B1" s="2">
        <v>2</v>
      </c>
      <c r="C1"/>
    </row>
    <row r="2" spans="1:252">
      <c r="A2" s="1" t="s">
        <v>1</v>
      </c>
      <c r="B2" s="2">
        <v>23</v>
      </c>
      <c r="C2"/>
    </row>
    <row r="3" spans="1:252">
      <c r="A3" s="1" t="s">
        <v>2</v>
      </c>
      <c r="B3" s="2" t="s">
        <v>8</v>
      </c>
      <c r="C3"/>
    </row>
    <row r="4" spans="1:252">
      <c r="A4" s="1" t="s">
        <v>3</v>
      </c>
      <c r="B4" s="2" t="s">
        <v>9</v>
      </c>
      <c r="C4"/>
    </row>
    <row r="5" spans="1:252">
      <c r="A5" s="1" t="s">
        <v>6</v>
      </c>
      <c r="B5" s="2">
        <v>5</v>
      </c>
      <c r="C5"/>
    </row>
    <row r="6" spans="1:252">
      <c r="A6"/>
      <c r="B6"/>
      <c r="C6" s="5" t="s">
        <v>7</v>
      </c>
      <c r="D6" s="6"/>
      <c r="E6" s="6"/>
      <c r="F6" s="6"/>
      <c r="G6" s="6"/>
      <c r="H6" s="6"/>
      <c r="I6" s="7"/>
    </row>
    <row r="7" spans="1:252">
      <c r="A7" s="1" t="s">
        <v>4</v>
      </c>
      <c r="B7" s="1" t="s">
        <v>5</v>
      </c>
      <c r="C7" s="3" t="str">
        <f>IF(COLUMN(C$7)-2&lt;=$B$1, "stage_" &amp; COLUMN(C$7)-2, "")</f>
        <v>stage_1</v>
      </c>
      <c r="D7" s="3" t="str">
        <f t="shared" ref="D7:BO7" si="0">IF(COLUMN(D$7)-2&lt;=$B$1, "stage_" &amp; COLUMN(D$7)-2, "")</f>
        <v>stage_2</v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0"/>
        <v/>
      </c>
      <c r="S7" s="3" t="str">
        <f t="shared" si="0"/>
        <v/>
      </c>
      <c r="T7" s="3" t="str">
        <f t="shared" si="0"/>
        <v/>
      </c>
      <c r="U7" s="3" t="str">
        <f t="shared" si="0"/>
        <v/>
      </c>
      <c r="V7" s="3" t="str">
        <f t="shared" si="0"/>
        <v/>
      </c>
      <c r="W7" s="3" t="str">
        <f t="shared" si="0"/>
        <v/>
      </c>
      <c r="X7" s="3" t="str">
        <f t="shared" si="0"/>
        <v/>
      </c>
      <c r="Y7" s="3" t="str">
        <f t="shared" si="0"/>
        <v/>
      </c>
      <c r="Z7" s="3" t="str">
        <f t="shared" si="0"/>
        <v/>
      </c>
      <c r="AA7" s="3" t="str">
        <f t="shared" si="0"/>
        <v/>
      </c>
      <c r="AB7" s="3" t="str">
        <f t="shared" si="0"/>
        <v/>
      </c>
      <c r="AC7" s="3" t="str">
        <f t="shared" si="0"/>
        <v/>
      </c>
      <c r="AD7" s="3" t="str">
        <f t="shared" si="0"/>
        <v/>
      </c>
      <c r="AE7" s="3" t="str">
        <f t="shared" si="0"/>
        <v/>
      </c>
      <c r="AF7" s="3" t="str">
        <f t="shared" si="0"/>
        <v/>
      </c>
      <c r="AG7" s="3" t="str">
        <f t="shared" si="0"/>
        <v/>
      </c>
      <c r="AH7" s="3" t="str">
        <f t="shared" si="0"/>
        <v/>
      </c>
      <c r="AI7" s="3" t="str">
        <f t="shared" si="0"/>
        <v/>
      </c>
      <c r="AJ7" s="3" t="str">
        <f t="shared" si="0"/>
        <v/>
      </c>
      <c r="AK7" s="3" t="str">
        <f t="shared" si="0"/>
        <v/>
      </c>
      <c r="AL7" s="3" t="str">
        <f t="shared" si="0"/>
        <v/>
      </c>
      <c r="AM7" s="3" t="str">
        <f t="shared" si="0"/>
        <v/>
      </c>
      <c r="AN7" s="3" t="str">
        <f t="shared" si="0"/>
        <v/>
      </c>
      <c r="AO7" s="3" t="str">
        <f t="shared" si="0"/>
        <v/>
      </c>
      <c r="AP7" s="3" t="str">
        <f t="shared" si="0"/>
        <v/>
      </c>
      <c r="AQ7" s="3" t="str">
        <f t="shared" si="0"/>
        <v/>
      </c>
      <c r="AR7" s="3" t="str">
        <f t="shared" si="0"/>
        <v/>
      </c>
      <c r="AS7" s="3" t="str">
        <f t="shared" si="0"/>
        <v/>
      </c>
      <c r="AT7" s="3" t="str">
        <f t="shared" si="0"/>
        <v/>
      </c>
      <c r="AU7" s="3" t="str">
        <f t="shared" si="0"/>
        <v/>
      </c>
      <c r="AV7" s="3" t="str">
        <f t="shared" si="0"/>
        <v/>
      </c>
      <c r="AW7" s="3" t="str">
        <f t="shared" si="0"/>
        <v/>
      </c>
      <c r="AX7" s="3" t="str">
        <f t="shared" si="0"/>
        <v/>
      </c>
      <c r="AY7" s="3" t="str">
        <f t="shared" si="0"/>
        <v/>
      </c>
      <c r="AZ7" s="3" t="str">
        <f t="shared" si="0"/>
        <v/>
      </c>
      <c r="BA7" s="3" t="str">
        <f t="shared" si="0"/>
        <v/>
      </c>
      <c r="BB7" s="3" t="str">
        <f t="shared" si="0"/>
        <v/>
      </c>
      <c r="BC7" s="3" t="str">
        <f t="shared" si="0"/>
        <v/>
      </c>
      <c r="BD7" s="3" t="str">
        <f t="shared" si="0"/>
        <v/>
      </c>
      <c r="BE7" s="3" t="str">
        <f t="shared" si="0"/>
        <v/>
      </c>
      <c r="BF7" s="3" t="str">
        <f t="shared" si="0"/>
        <v/>
      </c>
      <c r="BG7" s="3" t="str">
        <f t="shared" si="0"/>
        <v/>
      </c>
      <c r="BH7" s="3" t="str">
        <f t="shared" si="0"/>
        <v/>
      </c>
      <c r="BI7" s="3" t="str">
        <f t="shared" si="0"/>
        <v/>
      </c>
      <c r="BJ7" s="3" t="str">
        <f t="shared" si="0"/>
        <v/>
      </c>
      <c r="BK7" s="3" t="str">
        <f t="shared" si="0"/>
        <v/>
      </c>
      <c r="BL7" s="3" t="str">
        <f t="shared" si="0"/>
        <v/>
      </c>
      <c r="BM7" s="3" t="str">
        <f t="shared" si="0"/>
        <v/>
      </c>
      <c r="BN7" s="3" t="str">
        <f t="shared" si="0"/>
        <v/>
      </c>
      <c r="BO7" s="3" t="str">
        <f t="shared" si="0"/>
        <v/>
      </c>
      <c r="BP7" s="3" t="str">
        <f t="shared" ref="BP7:EA7" si="1">IF(COLUMN(BP$7)-2&lt;=$B$1, "stage_" &amp; COLUMN(BP$7)-2, "")</f>
        <v/>
      </c>
      <c r="BQ7" s="3" t="str">
        <f t="shared" si="1"/>
        <v/>
      </c>
      <c r="BR7" s="3" t="str">
        <f t="shared" si="1"/>
        <v/>
      </c>
      <c r="BS7" s="3" t="str">
        <f t="shared" si="1"/>
        <v/>
      </c>
      <c r="BT7" s="3" t="str">
        <f t="shared" si="1"/>
        <v/>
      </c>
      <c r="BU7" s="3" t="str">
        <f t="shared" si="1"/>
        <v/>
      </c>
      <c r="BV7" s="3" t="str">
        <f t="shared" si="1"/>
        <v/>
      </c>
      <c r="BW7" s="3" t="str">
        <f t="shared" si="1"/>
        <v/>
      </c>
      <c r="BX7" s="3" t="str">
        <f t="shared" si="1"/>
        <v/>
      </c>
      <c r="BY7" s="3" t="str">
        <f t="shared" si="1"/>
        <v/>
      </c>
      <c r="BZ7" s="3" t="str">
        <f t="shared" si="1"/>
        <v/>
      </c>
      <c r="CA7" s="3" t="str">
        <f t="shared" si="1"/>
        <v/>
      </c>
      <c r="CB7" s="3" t="str">
        <f t="shared" si="1"/>
        <v/>
      </c>
      <c r="CC7" s="3" t="str">
        <f t="shared" si="1"/>
        <v/>
      </c>
      <c r="CD7" s="3" t="str">
        <f t="shared" si="1"/>
        <v/>
      </c>
      <c r="CE7" s="3" t="str">
        <f t="shared" si="1"/>
        <v/>
      </c>
      <c r="CF7" s="3" t="str">
        <f t="shared" si="1"/>
        <v/>
      </c>
      <c r="CG7" s="3" t="str">
        <f t="shared" si="1"/>
        <v/>
      </c>
      <c r="CH7" s="3" t="str">
        <f t="shared" si="1"/>
        <v/>
      </c>
      <c r="CI7" s="3" t="str">
        <f t="shared" si="1"/>
        <v/>
      </c>
      <c r="CJ7" s="3" t="str">
        <f t="shared" si="1"/>
        <v/>
      </c>
      <c r="CK7" s="3" t="str">
        <f t="shared" si="1"/>
        <v/>
      </c>
      <c r="CL7" s="3" t="str">
        <f t="shared" si="1"/>
        <v/>
      </c>
      <c r="CM7" s="3" t="str">
        <f t="shared" si="1"/>
        <v/>
      </c>
      <c r="CN7" s="3" t="str">
        <f t="shared" si="1"/>
        <v/>
      </c>
      <c r="CO7" s="3" t="str">
        <f t="shared" si="1"/>
        <v/>
      </c>
      <c r="CP7" s="3" t="str">
        <f t="shared" si="1"/>
        <v/>
      </c>
      <c r="CQ7" s="3" t="str">
        <f t="shared" si="1"/>
        <v/>
      </c>
      <c r="CR7" s="3" t="str">
        <f t="shared" si="1"/>
        <v/>
      </c>
      <c r="CS7" s="3" t="str">
        <f t="shared" si="1"/>
        <v/>
      </c>
      <c r="CT7" s="3" t="str">
        <f t="shared" si="1"/>
        <v/>
      </c>
      <c r="CU7" s="3" t="str">
        <f t="shared" si="1"/>
        <v/>
      </c>
      <c r="CV7" s="3" t="str">
        <f t="shared" si="1"/>
        <v/>
      </c>
      <c r="CW7" s="3" t="str">
        <f t="shared" si="1"/>
        <v/>
      </c>
      <c r="CX7" s="3" t="str">
        <f t="shared" si="1"/>
        <v/>
      </c>
      <c r="CY7" s="3" t="str">
        <f t="shared" si="1"/>
        <v/>
      </c>
      <c r="CZ7" s="3" t="str">
        <f t="shared" si="1"/>
        <v/>
      </c>
      <c r="DA7" s="3" t="str">
        <f t="shared" si="1"/>
        <v/>
      </c>
      <c r="DB7" s="3" t="str">
        <f t="shared" si="1"/>
        <v/>
      </c>
      <c r="DC7" s="3" t="str">
        <f t="shared" si="1"/>
        <v/>
      </c>
      <c r="DD7" s="3" t="str">
        <f t="shared" si="1"/>
        <v/>
      </c>
      <c r="DE7" s="3" t="str">
        <f t="shared" si="1"/>
        <v/>
      </c>
      <c r="DF7" s="3" t="str">
        <f t="shared" si="1"/>
        <v/>
      </c>
      <c r="DG7" s="3" t="str">
        <f t="shared" si="1"/>
        <v/>
      </c>
      <c r="DH7" s="3" t="str">
        <f t="shared" si="1"/>
        <v/>
      </c>
      <c r="DI7" s="3" t="str">
        <f t="shared" si="1"/>
        <v/>
      </c>
      <c r="DJ7" s="3" t="str">
        <f t="shared" si="1"/>
        <v/>
      </c>
      <c r="DK7" s="3" t="str">
        <f t="shared" si="1"/>
        <v/>
      </c>
      <c r="DL7" s="3" t="str">
        <f t="shared" si="1"/>
        <v/>
      </c>
      <c r="DM7" s="3" t="str">
        <f t="shared" si="1"/>
        <v/>
      </c>
      <c r="DN7" s="3" t="str">
        <f t="shared" si="1"/>
        <v/>
      </c>
      <c r="DO7" s="3" t="str">
        <f t="shared" si="1"/>
        <v/>
      </c>
      <c r="DP7" s="3" t="str">
        <f t="shared" si="1"/>
        <v/>
      </c>
      <c r="DQ7" s="3" t="str">
        <f t="shared" si="1"/>
        <v/>
      </c>
      <c r="DR7" s="3" t="str">
        <f t="shared" si="1"/>
        <v/>
      </c>
      <c r="DS7" s="3" t="str">
        <f t="shared" si="1"/>
        <v/>
      </c>
      <c r="DT7" s="3" t="str">
        <f t="shared" si="1"/>
        <v/>
      </c>
      <c r="DU7" s="3" t="str">
        <f t="shared" si="1"/>
        <v/>
      </c>
      <c r="DV7" s="3" t="str">
        <f t="shared" si="1"/>
        <v/>
      </c>
      <c r="DW7" s="3" t="str">
        <f t="shared" si="1"/>
        <v/>
      </c>
      <c r="DX7" s="3" t="str">
        <f t="shared" si="1"/>
        <v/>
      </c>
      <c r="DY7" s="3" t="str">
        <f t="shared" si="1"/>
        <v/>
      </c>
      <c r="DZ7" s="3" t="str">
        <f t="shared" si="1"/>
        <v/>
      </c>
      <c r="EA7" s="3" t="str">
        <f t="shared" si="1"/>
        <v/>
      </c>
      <c r="EB7" s="3" t="str">
        <f t="shared" ref="EB7:GM7" si="2">IF(COLUMN(EB$7)-2&lt;=$B$1, "stage_" &amp; COLUMN(EB$7)-2, "")</f>
        <v/>
      </c>
      <c r="EC7" s="3" t="str">
        <f t="shared" si="2"/>
        <v/>
      </c>
      <c r="ED7" s="3" t="str">
        <f t="shared" si="2"/>
        <v/>
      </c>
      <c r="EE7" s="3" t="str">
        <f t="shared" si="2"/>
        <v/>
      </c>
      <c r="EF7" s="3" t="str">
        <f t="shared" si="2"/>
        <v/>
      </c>
      <c r="EG7" s="3" t="str">
        <f t="shared" si="2"/>
        <v/>
      </c>
      <c r="EH7" s="3" t="str">
        <f t="shared" si="2"/>
        <v/>
      </c>
      <c r="EI7" s="3" t="str">
        <f t="shared" si="2"/>
        <v/>
      </c>
      <c r="EJ7" s="3" t="str">
        <f t="shared" si="2"/>
        <v/>
      </c>
      <c r="EK7" s="3" t="str">
        <f t="shared" si="2"/>
        <v/>
      </c>
      <c r="EL7" s="3" t="str">
        <f t="shared" si="2"/>
        <v/>
      </c>
      <c r="EM7" s="3" t="str">
        <f t="shared" si="2"/>
        <v/>
      </c>
      <c r="EN7" s="3" t="str">
        <f t="shared" si="2"/>
        <v/>
      </c>
      <c r="EO7" s="3" t="str">
        <f t="shared" si="2"/>
        <v/>
      </c>
      <c r="EP7" s="3" t="str">
        <f t="shared" si="2"/>
        <v/>
      </c>
      <c r="EQ7" s="3" t="str">
        <f t="shared" si="2"/>
        <v/>
      </c>
      <c r="ER7" s="3" t="str">
        <f t="shared" si="2"/>
        <v/>
      </c>
      <c r="ES7" s="3" t="str">
        <f t="shared" si="2"/>
        <v/>
      </c>
      <c r="ET7" s="3" t="str">
        <f t="shared" si="2"/>
        <v/>
      </c>
      <c r="EU7" s="3" t="str">
        <f t="shared" si="2"/>
        <v/>
      </c>
      <c r="EV7" s="3" t="str">
        <f t="shared" si="2"/>
        <v/>
      </c>
      <c r="EW7" s="3" t="str">
        <f t="shared" si="2"/>
        <v/>
      </c>
      <c r="EX7" s="3" t="str">
        <f t="shared" si="2"/>
        <v/>
      </c>
      <c r="EY7" s="3" t="str">
        <f t="shared" si="2"/>
        <v/>
      </c>
      <c r="EZ7" s="3" t="str">
        <f t="shared" si="2"/>
        <v/>
      </c>
      <c r="FA7" s="3" t="str">
        <f t="shared" si="2"/>
        <v/>
      </c>
      <c r="FB7" s="3" t="str">
        <f t="shared" si="2"/>
        <v/>
      </c>
      <c r="FC7" s="3" t="str">
        <f t="shared" si="2"/>
        <v/>
      </c>
      <c r="FD7" s="3" t="str">
        <f t="shared" si="2"/>
        <v/>
      </c>
      <c r="FE7" s="3" t="str">
        <f t="shared" si="2"/>
        <v/>
      </c>
      <c r="FF7" s="3" t="str">
        <f t="shared" si="2"/>
        <v/>
      </c>
      <c r="FG7" s="3" t="str">
        <f t="shared" si="2"/>
        <v/>
      </c>
      <c r="FH7" s="3" t="str">
        <f t="shared" si="2"/>
        <v/>
      </c>
      <c r="FI7" s="3" t="str">
        <f t="shared" si="2"/>
        <v/>
      </c>
      <c r="FJ7" s="3" t="str">
        <f t="shared" si="2"/>
        <v/>
      </c>
      <c r="FK7" s="3" t="str">
        <f t="shared" si="2"/>
        <v/>
      </c>
      <c r="FL7" s="3" t="str">
        <f t="shared" si="2"/>
        <v/>
      </c>
      <c r="FM7" s="3" t="str">
        <f t="shared" si="2"/>
        <v/>
      </c>
      <c r="FN7" s="3" t="str">
        <f t="shared" si="2"/>
        <v/>
      </c>
      <c r="FO7" s="3" t="str">
        <f t="shared" si="2"/>
        <v/>
      </c>
      <c r="FP7" s="3" t="str">
        <f t="shared" si="2"/>
        <v/>
      </c>
      <c r="FQ7" s="3" t="str">
        <f t="shared" si="2"/>
        <v/>
      </c>
      <c r="FR7" s="3" t="str">
        <f t="shared" si="2"/>
        <v/>
      </c>
      <c r="FS7" s="3" t="str">
        <f t="shared" si="2"/>
        <v/>
      </c>
      <c r="FT7" s="3" t="str">
        <f t="shared" si="2"/>
        <v/>
      </c>
      <c r="FU7" s="3" t="str">
        <f t="shared" si="2"/>
        <v/>
      </c>
      <c r="FV7" s="3" t="str">
        <f t="shared" si="2"/>
        <v/>
      </c>
      <c r="FW7" s="3" t="str">
        <f t="shared" si="2"/>
        <v/>
      </c>
      <c r="FX7" s="3" t="str">
        <f t="shared" si="2"/>
        <v/>
      </c>
      <c r="FY7" s="3" t="str">
        <f t="shared" si="2"/>
        <v/>
      </c>
      <c r="FZ7" s="3" t="str">
        <f t="shared" si="2"/>
        <v/>
      </c>
      <c r="GA7" s="3" t="str">
        <f t="shared" si="2"/>
        <v/>
      </c>
      <c r="GB7" s="3" t="str">
        <f t="shared" si="2"/>
        <v/>
      </c>
      <c r="GC7" s="3" t="str">
        <f t="shared" si="2"/>
        <v/>
      </c>
      <c r="GD7" s="3" t="str">
        <f t="shared" si="2"/>
        <v/>
      </c>
      <c r="GE7" s="3" t="str">
        <f t="shared" si="2"/>
        <v/>
      </c>
      <c r="GF7" s="3" t="str">
        <f t="shared" si="2"/>
        <v/>
      </c>
      <c r="GG7" s="3" t="str">
        <f t="shared" si="2"/>
        <v/>
      </c>
      <c r="GH7" s="3" t="str">
        <f t="shared" si="2"/>
        <v/>
      </c>
      <c r="GI7" s="3" t="str">
        <f t="shared" si="2"/>
        <v/>
      </c>
      <c r="GJ7" s="3" t="str">
        <f t="shared" si="2"/>
        <v/>
      </c>
      <c r="GK7" s="3" t="str">
        <f t="shared" si="2"/>
        <v/>
      </c>
      <c r="GL7" s="3" t="str">
        <f t="shared" si="2"/>
        <v/>
      </c>
      <c r="GM7" s="3" t="str">
        <f t="shared" si="2"/>
        <v/>
      </c>
      <c r="GN7" s="3" t="str">
        <f t="shared" ref="GN7:IR7" si="3">IF(COLUMN(GN$7)-2&lt;=$B$1, "stage_" &amp; COLUMN(GN$7)-2, "")</f>
        <v/>
      </c>
      <c r="GO7" s="3" t="str">
        <f t="shared" si="3"/>
        <v/>
      </c>
      <c r="GP7" s="3" t="str">
        <f t="shared" si="3"/>
        <v/>
      </c>
      <c r="GQ7" s="3" t="str">
        <f t="shared" si="3"/>
        <v/>
      </c>
      <c r="GR7" s="3" t="str">
        <f t="shared" si="3"/>
        <v/>
      </c>
      <c r="GS7" s="3" t="str">
        <f t="shared" si="3"/>
        <v/>
      </c>
      <c r="GT7" s="3" t="str">
        <f t="shared" si="3"/>
        <v/>
      </c>
      <c r="GU7" s="3" t="str">
        <f t="shared" si="3"/>
        <v/>
      </c>
      <c r="GV7" s="3" t="str">
        <f t="shared" si="3"/>
        <v/>
      </c>
      <c r="GW7" s="3" t="str">
        <f t="shared" si="3"/>
        <v/>
      </c>
      <c r="GX7" s="3" t="str">
        <f t="shared" si="3"/>
        <v/>
      </c>
      <c r="GY7" s="3" t="str">
        <f t="shared" si="3"/>
        <v/>
      </c>
      <c r="GZ7" s="3" t="str">
        <f t="shared" si="3"/>
        <v/>
      </c>
      <c r="HA7" s="3" t="str">
        <f t="shared" si="3"/>
        <v/>
      </c>
      <c r="HB7" s="3" t="str">
        <f t="shared" si="3"/>
        <v/>
      </c>
      <c r="HC7" s="3" t="str">
        <f t="shared" si="3"/>
        <v/>
      </c>
      <c r="HD7" s="3" t="str">
        <f t="shared" si="3"/>
        <v/>
      </c>
      <c r="HE7" s="3" t="str">
        <f t="shared" si="3"/>
        <v/>
      </c>
      <c r="HF7" s="3" t="str">
        <f t="shared" si="3"/>
        <v/>
      </c>
      <c r="HG7" s="3" t="str">
        <f t="shared" si="3"/>
        <v/>
      </c>
      <c r="HH7" s="3" t="str">
        <f t="shared" si="3"/>
        <v/>
      </c>
      <c r="HI7" s="3" t="str">
        <f t="shared" si="3"/>
        <v/>
      </c>
      <c r="HJ7" s="3" t="str">
        <f t="shared" si="3"/>
        <v/>
      </c>
      <c r="HK7" s="3" t="str">
        <f t="shared" si="3"/>
        <v/>
      </c>
      <c r="HL7" s="3" t="str">
        <f t="shared" si="3"/>
        <v/>
      </c>
      <c r="HM7" s="3" t="str">
        <f t="shared" si="3"/>
        <v/>
      </c>
      <c r="HN7" s="3" t="str">
        <f t="shared" si="3"/>
        <v/>
      </c>
      <c r="HO7" s="3" t="str">
        <f t="shared" si="3"/>
        <v/>
      </c>
      <c r="HP7" s="3" t="str">
        <f t="shared" si="3"/>
        <v/>
      </c>
      <c r="HQ7" s="3" t="str">
        <f t="shared" si="3"/>
        <v/>
      </c>
      <c r="HR7" s="3" t="str">
        <f t="shared" si="3"/>
        <v/>
      </c>
      <c r="HS7" s="3" t="str">
        <f t="shared" si="3"/>
        <v/>
      </c>
      <c r="HT7" s="3" t="str">
        <f t="shared" si="3"/>
        <v/>
      </c>
      <c r="HU7" s="3" t="str">
        <f t="shared" si="3"/>
        <v/>
      </c>
      <c r="HV7" s="3" t="str">
        <f t="shared" si="3"/>
        <v/>
      </c>
      <c r="HW7" s="3" t="str">
        <f t="shared" si="3"/>
        <v/>
      </c>
      <c r="HX7" s="3" t="str">
        <f t="shared" si="3"/>
        <v/>
      </c>
      <c r="HY7" s="3" t="str">
        <f t="shared" si="3"/>
        <v/>
      </c>
      <c r="HZ7" s="3" t="str">
        <f t="shared" si="3"/>
        <v/>
      </c>
      <c r="IA7" s="3" t="str">
        <f t="shared" si="3"/>
        <v/>
      </c>
      <c r="IB7" s="3" t="str">
        <f t="shared" si="3"/>
        <v/>
      </c>
      <c r="IC7" s="3" t="str">
        <f t="shared" si="3"/>
        <v/>
      </c>
      <c r="ID7" s="3" t="str">
        <f t="shared" si="3"/>
        <v/>
      </c>
      <c r="IE7" s="3" t="str">
        <f t="shared" si="3"/>
        <v/>
      </c>
      <c r="IF7" s="3" t="str">
        <f t="shared" si="3"/>
        <v/>
      </c>
      <c r="IG7" s="3" t="str">
        <f t="shared" si="3"/>
        <v/>
      </c>
      <c r="IH7" s="3" t="str">
        <f t="shared" si="3"/>
        <v/>
      </c>
      <c r="II7" s="3" t="str">
        <f t="shared" si="3"/>
        <v/>
      </c>
      <c r="IJ7" s="3" t="str">
        <f t="shared" si="3"/>
        <v/>
      </c>
      <c r="IK7" s="3" t="str">
        <f t="shared" si="3"/>
        <v/>
      </c>
      <c r="IL7" s="3" t="str">
        <f t="shared" si="3"/>
        <v/>
      </c>
      <c r="IM7" s="3" t="str">
        <f t="shared" si="3"/>
        <v/>
      </c>
      <c r="IN7" s="3" t="str">
        <f t="shared" si="3"/>
        <v/>
      </c>
      <c r="IO7" s="3" t="str">
        <f t="shared" si="3"/>
        <v/>
      </c>
      <c r="IP7" s="3" t="str">
        <f t="shared" si="3"/>
        <v/>
      </c>
      <c r="IQ7" s="3" t="str">
        <f t="shared" si="3"/>
        <v/>
      </c>
      <c r="IR7" s="3" t="str">
        <f t="shared" si="3"/>
        <v/>
      </c>
    </row>
    <row r="8" spans="1:252">
      <c r="A8" s="2" t="s">
        <v>10</v>
      </c>
      <c r="B8" s="2" t="s">
        <v>12</v>
      </c>
      <c r="C8">
        <v>15000</v>
      </c>
      <c r="D8">
        <v>10000</v>
      </c>
    </row>
    <row r="9" spans="1:252">
      <c r="A9" s="2" t="s">
        <v>11</v>
      </c>
      <c r="B9" s="2" t="s">
        <v>13</v>
      </c>
      <c r="C9">
        <v>6000</v>
      </c>
      <c r="D9">
        <v>8000</v>
      </c>
    </row>
    <row r="10" spans="1:252">
      <c r="B10" s="2" t="s">
        <v>14</v>
      </c>
      <c r="C10">
        <v>1000</v>
      </c>
      <c r="D10">
        <v>7500</v>
      </c>
    </row>
    <row r="11" spans="1:252">
      <c r="B11" s="2" t="s">
        <v>15</v>
      </c>
      <c r="C11">
        <v>1500</v>
      </c>
      <c r="D11">
        <v>5000</v>
      </c>
    </row>
    <row r="12" spans="1:252">
      <c r="B12" s="2" t="s">
        <v>16</v>
      </c>
      <c r="C12">
        <v>100</v>
      </c>
      <c r="D12">
        <v>4800</v>
      </c>
    </row>
    <row r="13" spans="1:252">
      <c r="B13" s="2" t="s">
        <v>17</v>
      </c>
      <c r="C13">
        <v>0</v>
      </c>
      <c r="D13">
        <v>3000</v>
      </c>
    </row>
    <row r="14" spans="1:252">
      <c r="B14" s="2" t="s">
        <v>18</v>
      </c>
      <c r="C14">
        <v>0</v>
      </c>
      <c r="D14">
        <v>2500</v>
      </c>
    </row>
    <row r="15" spans="1:252">
      <c r="B15" s="2" t="s">
        <v>19</v>
      </c>
      <c r="C15">
        <v>0</v>
      </c>
      <c r="D15">
        <v>1200</v>
      </c>
    </row>
    <row r="16" spans="1:252">
      <c r="B16" s="2" t="s">
        <v>20</v>
      </c>
      <c r="C16">
        <v>0</v>
      </c>
      <c r="D16">
        <v>600</v>
      </c>
    </row>
    <row r="17" spans="2:4">
      <c r="B17" s="2" t="s">
        <v>21</v>
      </c>
      <c r="C17">
        <v>0</v>
      </c>
      <c r="D17">
        <v>100</v>
      </c>
    </row>
    <row r="18" spans="2:4">
      <c r="B18" s="2" t="s">
        <v>22</v>
      </c>
      <c r="C18">
        <v>0</v>
      </c>
      <c r="D18">
        <v>10</v>
      </c>
    </row>
    <row r="19" spans="2:4">
      <c r="B19" s="2" t="s">
        <v>23</v>
      </c>
      <c r="C19">
        <v>0</v>
      </c>
      <c r="D19">
        <v>0</v>
      </c>
    </row>
    <row r="20" spans="2:4">
      <c r="B20" s="2" t="s">
        <v>24</v>
      </c>
      <c r="C20">
        <v>0</v>
      </c>
      <c r="D20">
        <v>0</v>
      </c>
    </row>
    <row r="21" spans="2:4">
      <c r="B21" s="2" t="s">
        <v>25</v>
      </c>
      <c r="C21">
        <v>0</v>
      </c>
      <c r="D21">
        <v>0</v>
      </c>
    </row>
    <row r="22" spans="2:4">
      <c r="B22" s="2" t="s">
        <v>26</v>
      </c>
      <c r="C22">
        <v>0</v>
      </c>
      <c r="D22">
        <v>0</v>
      </c>
    </row>
    <row r="23" spans="2:4">
      <c r="B23" s="2" t="s">
        <v>27</v>
      </c>
      <c r="C23">
        <v>0</v>
      </c>
      <c r="D23">
        <v>0</v>
      </c>
    </row>
    <row r="24" spans="2:4">
      <c r="B24" s="2" t="s">
        <v>28</v>
      </c>
      <c r="C24">
        <v>0</v>
      </c>
      <c r="D24">
        <v>0</v>
      </c>
    </row>
    <row r="25" spans="2:4">
      <c r="B25" s="2" t="s">
        <v>29</v>
      </c>
      <c r="C25">
        <v>0</v>
      </c>
      <c r="D25">
        <v>0</v>
      </c>
    </row>
    <row r="26" spans="2:4">
      <c r="B26" s="2" t="s">
        <v>30</v>
      </c>
      <c r="C26">
        <v>0</v>
      </c>
      <c r="D26">
        <v>0</v>
      </c>
    </row>
    <row r="27" spans="2:4">
      <c r="B27" s="2" t="s">
        <v>31</v>
      </c>
      <c r="C27">
        <v>0</v>
      </c>
      <c r="D27">
        <v>0</v>
      </c>
    </row>
    <row r="28" spans="2:4">
      <c r="B28" s="2" t="s">
        <v>32</v>
      </c>
      <c r="C28">
        <v>0</v>
      </c>
      <c r="D28">
        <v>0</v>
      </c>
    </row>
    <row r="29" spans="2:4">
      <c r="B29" s="2" t="s">
        <v>33</v>
      </c>
      <c r="C29">
        <v>0</v>
      </c>
      <c r="D29">
        <v>0</v>
      </c>
    </row>
    <row r="30" spans="2:4">
      <c r="B30" s="2" t="s">
        <v>34</v>
      </c>
      <c r="C30">
        <v>0</v>
      </c>
      <c r="D30">
        <v>0</v>
      </c>
    </row>
  </sheetData>
  <conditionalFormatting sqref="C7:IR7">
    <cfRule type="beginsWith" dxfId="3" priority="2" operator="beginsWith" text="stage">
      <formula>LEFT(C7,LEN("stage"))="stage"</formula>
    </cfRule>
  </conditionalFormatting>
  <conditionalFormatting sqref="C8:IR1048576">
    <cfRule type="expression" dxfId="2" priority="1">
      <formula>IF(LEFT(C$7, LEN("stage")) = "stage", TRUE, FALSE)</formula>
    </cfRule>
  </conditionalFormatting>
  <dataValidations count="5">
    <dataValidation type="list" allowBlank="1" showInputMessage="1" showErrorMessage="1" promptTitle="Projection grouping" prompt="Select how to group projections, by patch or by stage." sqref="B3" xr:uid="{90817640-7FD0-44CC-9CBB-9AA89E5C3303}">
      <formula1>"stages, patches"</formula1>
    </dataValidation>
    <dataValidation type="list" allowBlank="1" showInputMessage="1" showErrorMessage="1" promptTitle="Life history order" prompt="The order in which life history processes should take place in the analysis; movement then demographics or vice versa._x000a_" sqref="B4" xr:uid="{BD66C06C-7E4C-4C93-A16B-9ACDAA064504}">
      <formula1>"move, demo"</formula1>
    </dataValidation>
    <dataValidation type="whole" allowBlank="1" showInputMessage="1" showErrorMessage="1" errorTitle="ERROR" error="Value must be a whole number._x000a_" promptTitle="Number of timesteps" prompt="The number of timesteps to project metapopulation abundances into the future, typically annual._x000a_" sqref="B5" xr:uid="{85F9BB6E-2BC6-42EF-A75E-D72925066D1E}">
      <formula1>1</formula1>
      <formula2>10000</formula2>
    </dataValidation>
    <dataValidation type="whole" allowBlank="1" showInputMessage="1" showErrorMessage="1" errorTitle="ERROR" error="Value must be a whole number." promptTitle="Number of stages" prompt="The number of life stages or ages of the subpopulations." sqref="B1" xr:uid="{873A4567-6FFB-4D2E-9693-DFCFF233CC23}">
      <formula1>1</formula1>
      <formula2>250</formula2>
    </dataValidation>
    <dataValidation type="whole" allowBlank="1" showInputMessage="1" showErrorMessage="1" errorTitle="ERROR" error="Value must be a whole number._x000a_" promptTitle="Number of patches" prompt="The number of patches or spatial units of the metapopulation._x000a_" sqref="B2" xr:uid="{F95485E3-5B1A-4952-A2D2-27CEDD0F1337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reateSheets">
                <anchor moveWithCells="1" sizeWithCells="1">
                  <from>
                    <xdr:col>2</xdr:col>
                    <xdr:colOff>95250</xdr:colOff>
                    <xdr:row>1</xdr:row>
                    <xdr:rowOff>7620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5260A-9056-42A0-A737-C2646C186462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1.6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35C87-4C86-44DD-963F-CC6D30ACD182}">
  <dimension ref="A1:B2"/>
  <sheetViews>
    <sheetView workbookViewId="0">
      <selection activeCell="L23" sqref="L23"/>
    </sheetView>
  </sheetViews>
  <sheetFormatPr defaultRowHeight="14.4"/>
  <sheetData>
    <row r="1" spans="1:2">
      <c r="A1">
        <v>0</v>
      </c>
      <c r="B1">
        <v>0.75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D0A6F-DA9A-4304-97B2-E92B600E77F7}">
  <dimension ref="A1:B2"/>
  <sheetViews>
    <sheetView workbookViewId="0">
      <selection activeCell="O15" sqref="O15"/>
    </sheetView>
  </sheetViews>
  <sheetFormatPr defaultRowHeight="14.4"/>
  <sheetData>
    <row r="1" spans="1:2">
      <c r="A1">
        <v>0</v>
      </c>
      <c r="B1">
        <v>0.5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DB489-2592-4AFF-A273-B7A8D2885AA9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0.25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1FFEA-78FA-47C5-B471-D6478904BC6E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0.05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F7F74-00E2-4F31-860A-15D138036F79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0.01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6FFF7-D994-4322-BA31-3BD55D7D2EA8}">
  <dimension ref="A1:B2"/>
  <sheetViews>
    <sheetView workbookViewId="0">
      <selection activeCell="L23" sqref="A1:XFD1048576"/>
    </sheetView>
  </sheetViews>
  <sheetFormatPr defaultRowHeight="14.4"/>
  <sheetData>
    <row r="1" spans="1:2">
      <c r="A1">
        <v>0</v>
      </c>
      <c r="B1">
        <v>0.1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A7F7-7D39-4B7F-832C-B845F4CD6DDB}">
  <dimension ref="A1:B2"/>
  <sheetViews>
    <sheetView workbookViewId="0">
      <selection activeCell="N27" sqref="A1:XFD1048576"/>
    </sheetView>
  </sheetViews>
  <sheetFormatPr defaultRowHeight="14.4"/>
  <sheetData>
    <row r="1" spans="1:2">
      <c r="A1">
        <v>0</v>
      </c>
      <c r="B1">
        <v>0.01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7BD3-86EB-4E6F-906A-BDD3E40BAC98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0.01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1B276-F347-4DAD-B3CF-A5F6DC615FDA}">
  <dimension ref="A1:B2"/>
  <sheetViews>
    <sheetView workbookViewId="0">
      <selection activeCell="G16"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EE507-0406-4F06-9B6D-AA06C4B592F9}">
  <dimension ref="A1:B2"/>
  <sheetViews>
    <sheetView workbookViewId="0">
      <selection activeCell="S31" sqref="A1:XFD1048576"/>
    </sheetView>
  </sheetViews>
  <sheetFormatPr defaultRowHeight="14.4"/>
  <sheetData>
    <row r="1" spans="1:2">
      <c r="A1">
        <v>0</v>
      </c>
      <c r="B1">
        <v>0.01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80CD-7BCA-4A10-A068-61BF67FE5E11}">
  <dimension ref="A1:B2"/>
  <sheetViews>
    <sheetView workbookViewId="0">
      <selection activeCell="H26"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0BFDE-AFD4-48F9-B868-0A32AE4783BC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339A4-9DE8-41EF-A44D-E0869BB813AA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DE5C8-71BC-4742-BE5C-70C75D2712EC}">
  <dimension ref="A1:B2"/>
  <sheetViews>
    <sheetView workbookViewId="0">
      <selection activeCell="L28"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88515-5C77-4DD0-86B6-E9AED88B1388}">
  <dimension ref="A1:B2"/>
  <sheetViews>
    <sheetView workbookViewId="0">
      <selection activeCell="S22" sqref="A1:XFD1048576"/>
    </sheetView>
  </sheetViews>
  <sheetFormatPr defaultRowHeight="14.4"/>
  <sheetData>
    <row r="1" spans="1:2">
      <c r="A1">
        <v>0</v>
      </c>
      <c r="B1">
        <v>0.2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16E8-D7F9-4769-A57F-B1BF5659842C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D7EAA-58B3-4CEA-9308-3712B21D23C7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5512D-1B3B-4BDE-BCAE-C986B3896D39}">
  <dimension ref="A1:B2"/>
  <sheetViews>
    <sheetView workbookViewId="0">
      <selection activeCell="J23"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0C2E7-4E01-4658-A144-99971AA740B6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B1F08-7F53-453C-8121-F1B175968FF8}">
  <dimension ref="A1:B2"/>
  <sheetViews>
    <sheetView workbookViewId="0">
      <selection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0AB8F-9BFD-4452-9797-4E25117CBEDB}">
  <dimension ref="A1:B2"/>
  <sheetViews>
    <sheetView workbookViewId="0">
      <selection activeCell="M30" sqref="A1:XFD104857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BEE48-6A59-4651-91AA-1329CA891954}">
  <dimension ref="A1:B2"/>
  <sheetViews>
    <sheetView workbookViewId="0">
      <selection activeCell="Q26" sqref="Q26"/>
    </sheetView>
  </sheetViews>
  <sheetFormatPr defaultRowHeight="14.4"/>
  <sheetData>
    <row r="1" spans="1:2">
      <c r="A1">
        <v>0</v>
      </c>
      <c r="B1">
        <v>0</v>
      </c>
    </row>
    <row r="2" spans="1:2">
      <c r="A2">
        <v>0.71</v>
      </c>
      <c r="B2">
        <v>0.71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BD442-2E6C-474A-9AC5-CC8D543A0766}">
  <dimension ref="A1:W23"/>
  <sheetViews>
    <sheetView tabSelected="1" workbookViewId="0">
      <selection activeCell="AD19" sqref="AD19"/>
    </sheetView>
  </sheetViews>
  <sheetFormatPr defaultRowHeight="14.4"/>
  <cols>
    <col min="1" max="23" width="4.15625" bestFit="1" customWidth="1"/>
  </cols>
  <sheetData>
    <row r="1" spans="1:23">
      <c r="A1" s="8">
        <v>0.95</v>
      </c>
      <c r="B1" s="8">
        <v>0.4</v>
      </c>
      <c r="C1" s="8">
        <v>0.2</v>
      </c>
      <c r="D1" s="8">
        <v>0</v>
      </c>
      <c r="E1" s="8">
        <v>0</v>
      </c>
      <c r="F1" s="8">
        <v>0</v>
      </c>
      <c r="G1" s="8">
        <v>0</v>
      </c>
      <c r="H1" s="8">
        <v>0</v>
      </c>
      <c r="I1" s="8">
        <v>0</v>
      </c>
      <c r="J1" s="8">
        <v>0</v>
      </c>
      <c r="K1" s="8">
        <v>0</v>
      </c>
      <c r="L1" s="8">
        <v>0</v>
      </c>
      <c r="M1" s="8">
        <v>0</v>
      </c>
      <c r="N1" s="8">
        <v>0</v>
      </c>
      <c r="O1" s="8">
        <v>0</v>
      </c>
      <c r="P1" s="8">
        <v>0</v>
      </c>
      <c r="Q1" s="8">
        <v>0</v>
      </c>
      <c r="R1" s="8">
        <v>0</v>
      </c>
      <c r="S1" s="8">
        <v>0</v>
      </c>
      <c r="T1" s="8">
        <v>0</v>
      </c>
      <c r="U1" s="8">
        <v>0</v>
      </c>
      <c r="V1" s="8">
        <v>0</v>
      </c>
      <c r="W1" s="8">
        <v>0</v>
      </c>
    </row>
    <row r="2" spans="1:23">
      <c r="A2" s="8">
        <v>0.05</v>
      </c>
      <c r="B2" s="8">
        <v>0.59</v>
      </c>
      <c r="C2" s="8">
        <v>0.3</v>
      </c>
      <c r="D2" s="8">
        <v>0.2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</row>
    <row r="3" spans="1:23">
      <c r="A3" s="8">
        <v>0</v>
      </c>
      <c r="B3" s="8">
        <v>0.01</v>
      </c>
      <c r="C3" s="8">
        <v>0.49</v>
      </c>
      <c r="D3" s="8">
        <v>0.3</v>
      </c>
      <c r="E3" s="8">
        <v>0.2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</row>
    <row r="4" spans="1:23">
      <c r="A4" s="8">
        <v>0</v>
      </c>
      <c r="B4" s="8">
        <v>0</v>
      </c>
      <c r="C4" s="8">
        <v>0.01</v>
      </c>
      <c r="D4" s="8">
        <v>0.49</v>
      </c>
      <c r="E4" s="8">
        <v>0.3</v>
      </c>
      <c r="F4" s="8">
        <v>0.2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</row>
    <row r="5" spans="1:23">
      <c r="A5" s="8">
        <v>0</v>
      </c>
      <c r="B5" s="8">
        <v>0</v>
      </c>
      <c r="C5" s="8">
        <v>0</v>
      </c>
      <c r="D5" s="8">
        <v>0.01</v>
      </c>
      <c r="E5" s="8">
        <v>0.49</v>
      </c>
      <c r="F5" s="8">
        <v>0.3</v>
      </c>
      <c r="G5" s="8">
        <v>0.2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</row>
    <row r="6" spans="1:23">
      <c r="A6" s="8">
        <v>0</v>
      </c>
      <c r="B6" s="8">
        <v>0</v>
      </c>
      <c r="C6" s="8">
        <v>0</v>
      </c>
      <c r="D6" s="8">
        <v>0</v>
      </c>
      <c r="E6" s="8">
        <v>0.01</v>
      </c>
      <c r="F6" s="8">
        <v>0.49</v>
      </c>
      <c r="G6" s="8">
        <v>0.3</v>
      </c>
      <c r="H6" s="8">
        <v>0.2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</row>
    <row r="7" spans="1:23">
      <c r="A7" s="8">
        <v>0</v>
      </c>
      <c r="B7" s="8">
        <v>0</v>
      </c>
      <c r="C7" s="8">
        <v>0</v>
      </c>
      <c r="D7" s="8">
        <v>0</v>
      </c>
      <c r="E7" s="8">
        <v>0</v>
      </c>
      <c r="F7" s="8">
        <v>0.01</v>
      </c>
      <c r="G7" s="8">
        <v>0.49</v>
      </c>
      <c r="H7" s="8">
        <v>0.3</v>
      </c>
      <c r="I7" s="8">
        <v>0.2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</row>
    <row r="8" spans="1:23">
      <c r="A8" s="8">
        <v>0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0.01</v>
      </c>
      <c r="H8" s="8">
        <v>0.49</v>
      </c>
      <c r="I8" s="8">
        <v>0.3</v>
      </c>
      <c r="J8" s="8">
        <v>0.2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</row>
    <row r="9" spans="1:23">
      <c r="A9" s="8">
        <v>0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0.01</v>
      </c>
      <c r="I9" s="8">
        <v>0.49</v>
      </c>
      <c r="J9" s="8">
        <v>0.3</v>
      </c>
      <c r="K9" s="8">
        <v>0.2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</row>
    <row r="10" spans="1:23">
      <c r="A10" s="8">
        <v>0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0.01</v>
      </c>
      <c r="J10" s="8">
        <v>0.49</v>
      </c>
      <c r="K10" s="8">
        <v>0.3</v>
      </c>
      <c r="L10" s="8">
        <v>0.2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</row>
    <row r="11" spans="1:23">
      <c r="A11" s="8">
        <v>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0.01</v>
      </c>
      <c r="K11" s="8">
        <v>0.49</v>
      </c>
      <c r="L11" s="8">
        <v>0.3</v>
      </c>
      <c r="M11" s="8">
        <v>0.2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</row>
    <row r="12" spans="1:23">
      <c r="A12" s="8">
        <v>0</v>
      </c>
      <c r="B12" s="8">
        <v>0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0.01</v>
      </c>
      <c r="L12" s="8">
        <v>0.49</v>
      </c>
      <c r="M12" s="8">
        <v>0.3</v>
      </c>
      <c r="N12" s="8">
        <v>0.2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</row>
    <row r="13" spans="1:23">
      <c r="A13" s="8">
        <v>0</v>
      </c>
      <c r="B13" s="8">
        <v>0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0.01</v>
      </c>
      <c r="M13" s="8">
        <v>0.49</v>
      </c>
      <c r="N13" s="8">
        <v>0.3</v>
      </c>
      <c r="O13" s="8">
        <v>0.2</v>
      </c>
      <c r="P13" s="8">
        <v>0.2</v>
      </c>
      <c r="Q13" s="8">
        <v>0.2</v>
      </c>
      <c r="R13" s="8">
        <v>0.2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</row>
    <row r="14" spans="1:23">
      <c r="A14" s="8">
        <v>0</v>
      </c>
      <c r="B14" s="8">
        <v>0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0.01</v>
      </c>
      <c r="N14" s="8">
        <v>0.48</v>
      </c>
      <c r="O14" s="8">
        <v>0.3</v>
      </c>
      <c r="P14" s="8">
        <v>0.3</v>
      </c>
      <c r="Q14" s="8">
        <v>0.3</v>
      </c>
      <c r="R14" s="8">
        <v>0</v>
      </c>
      <c r="S14" s="8">
        <v>0.2</v>
      </c>
      <c r="T14" s="8">
        <v>0.2</v>
      </c>
      <c r="U14" s="8">
        <v>0.2</v>
      </c>
      <c r="V14" s="8">
        <v>0</v>
      </c>
      <c r="W14" s="8">
        <v>0</v>
      </c>
    </row>
    <row r="15" spans="1:23">
      <c r="A15" s="8">
        <v>0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0.01</v>
      </c>
      <c r="O15" s="8">
        <v>0.5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</row>
    <row r="16" spans="1:23">
      <c r="A16" s="8">
        <v>0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0.01</v>
      </c>
      <c r="O16" s="8">
        <v>0</v>
      </c>
      <c r="P16" s="8">
        <v>0.5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</row>
    <row r="17" spans="1:23">
      <c r="A17" s="8">
        <v>0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0.49</v>
      </c>
      <c r="R17" s="8">
        <v>0.3</v>
      </c>
      <c r="S17" s="8">
        <v>0</v>
      </c>
      <c r="T17" s="8">
        <v>0</v>
      </c>
      <c r="U17" s="8">
        <v>0.3</v>
      </c>
      <c r="V17" s="8">
        <v>0.2</v>
      </c>
      <c r="W17" s="8">
        <v>0</v>
      </c>
    </row>
    <row r="18" spans="1:23">
      <c r="A18" s="8">
        <v>0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0.01</v>
      </c>
      <c r="R18" s="8">
        <v>0.5</v>
      </c>
      <c r="S18" s="8">
        <v>0.3</v>
      </c>
      <c r="T18" s="8">
        <v>0</v>
      </c>
      <c r="U18" s="8">
        <v>0</v>
      </c>
      <c r="V18" s="8">
        <v>0</v>
      </c>
      <c r="W18" s="8">
        <v>0</v>
      </c>
    </row>
    <row r="19" spans="1:23">
      <c r="A19" s="8">
        <v>0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0.49</v>
      </c>
      <c r="T19" s="8">
        <v>0.3</v>
      </c>
      <c r="U19" s="8">
        <v>0</v>
      </c>
      <c r="V19" s="8">
        <v>0</v>
      </c>
      <c r="W19" s="8">
        <v>0</v>
      </c>
    </row>
    <row r="20" spans="1:23">
      <c r="A20" s="8">
        <v>0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0.01</v>
      </c>
      <c r="T20" s="8">
        <v>0.5</v>
      </c>
      <c r="U20" s="8">
        <v>0</v>
      </c>
      <c r="V20" s="8">
        <v>0</v>
      </c>
      <c r="W20" s="8">
        <v>0</v>
      </c>
    </row>
    <row r="21" spans="1:23">
      <c r="A21" s="8">
        <v>0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0.49</v>
      </c>
      <c r="V21" s="8">
        <v>0.3</v>
      </c>
      <c r="W21" s="8">
        <v>0.2</v>
      </c>
    </row>
    <row r="22" spans="1:23">
      <c r="A22" s="8">
        <v>0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0.01</v>
      </c>
      <c r="V22" s="8">
        <v>0.49</v>
      </c>
      <c r="W22" s="8">
        <v>0.3</v>
      </c>
    </row>
    <row r="23" spans="1:23">
      <c r="A23" s="8">
        <v>0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0.01</v>
      </c>
      <c r="W23" s="8">
        <v>0.5</v>
      </c>
    </row>
  </sheetData>
  <conditionalFormatting sqref="A1:W23">
    <cfRule type="cellIs" dxfId="1" priority="1" operator="greater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ADD2D-EBDC-406E-8CF7-CF6AA4058AF9}">
  <dimension ref="A1:X23"/>
  <sheetViews>
    <sheetView workbookViewId="0">
      <selection activeCell="AC24" sqref="AC24"/>
    </sheetView>
  </sheetViews>
  <sheetFormatPr defaultRowHeight="14.4"/>
  <cols>
    <col min="1" max="9" width="4.15625" bestFit="1" customWidth="1"/>
    <col min="10" max="10" width="4.15625" customWidth="1"/>
    <col min="11" max="23" width="4.15625" bestFit="1" customWidth="1"/>
  </cols>
  <sheetData>
    <row r="1" spans="1:24" ht="15" customHeight="1">
      <c r="A1" s="8">
        <v>0.4</v>
      </c>
      <c r="B1" s="8">
        <v>0.1</v>
      </c>
      <c r="C1" s="8">
        <v>0.05</v>
      </c>
      <c r="D1" s="8">
        <v>0</v>
      </c>
      <c r="E1" s="8">
        <v>0</v>
      </c>
      <c r="F1" s="8">
        <v>0</v>
      </c>
      <c r="G1" s="8">
        <v>0</v>
      </c>
      <c r="H1" s="8">
        <v>0</v>
      </c>
      <c r="I1" s="8">
        <v>0</v>
      </c>
      <c r="J1" s="8">
        <v>0</v>
      </c>
      <c r="K1" s="8">
        <v>0</v>
      </c>
      <c r="L1" s="8">
        <v>0</v>
      </c>
      <c r="M1" s="8">
        <v>0</v>
      </c>
      <c r="N1" s="8">
        <v>0</v>
      </c>
      <c r="O1" s="8">
        <v>0</v>
      </c>
      <c r="P1" s="8">
        <v>0</v>
      </c>
      <c r="Q1" s="8">
        <v>0</v>
      </c>
      <c r="R1" s="8">
        <v>0</v>
      </c>
      <c r="S1" s="8">
        <v>0</v>
      </c>
      <c r="T1" s="8">
        <v>0</v>
      </c>
      <c r="U1" s="8">
        <v>0</v>
      </c>
      <c r="V1" s="8">
        <v>0</v>
      </c>
      <c r="W1" s="8">
        <v>0</v>
      </c>
      <c r="X1" s="9"/>
    </row>
    <row r="2" spans="1:24" ht="15" customHeight="1">
      <c r="A2" s="8">
        <v>0.55000000000000004</v>
      </c>
      <c r="B2" s="8">
        <v>0.6</v>
      </c>
      <c r="C2" s="8">
        <v>0.1</v>
      </c>
      <c r="D2" s="8">
        <v>0.05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</row>
    <row r="3" spans="1:24" ht="15" customHeight="1">
      <c r="A3" s="8">
        <v>0.05</v>
      </c>
      <c r="B3" s="8">
        <v>0.3</v>
      </c>
      <c r="C3" s="8">
        <v>0.6</v>
      </c>
      <c r="D3" s="8">
        <v>0.1</v>
      </c>
      <c r="E3" s="8">
        <v>0.05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</row>
    <row r="4" spans="1:24" ht="15" customHeight="1">
      <c r="A4" s="8">
        <v>0</v>
      </c>
      <c r="B4" s="8">
        <v>0</v>
      </c>
      <c r="C4" s="8">
        <v>0.25</v>
      </c>
      <c r="D4" s="8">
        <v>0.6</v>
      </c>
      <c r="E4" s="8">
        <v>0.1</v>
      </c>
      <c r="F4" s="8">
        <v>0.05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</row>
    <row r="5" spans="1:24" ht="15" customHeight="1">
      <c r="A5" s="8">
        <v>0</v>
      </c>
      <c r="B5" s="8">
        <v>0</v>
      </c>
      <c r="C5" s="8">
        <v>0</v>
      </c>
      <c r="D5" s="8">
        <v>0.25</v>
      </c>
      <c r="E5" s="8">
        <v>0.6</v>
      </c>
      <c r="F5" s="8">
        <v>0.1</v>
      </c>
      <c r="G5" s="8">
        <v>0.05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</row>
    <row r="6" spans="1:24" ht="15" customHeight="1">
      <c r="A6" s="8">
        <v>0</v>
      </c>
      <c r="B6" s="8">
        <v>0</v>
      </c>
      <c r="C6" s="8">
        <v>0</v>
      </c>
      <c r="D6" s="8">
        <v>0</v>
      </c>
      <c r="E6" s="8">
        <v>0.25</v>
      </c>
      <c r="F6" s="8">
        <v>0.6</v>
      </c>
      <c r="G6" s="8">
        <v>0.1</v>
      </c>
      <c r="H6" s="8">
        <v>0.05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</row>
    <row r="7" spans="1:24" ht="15" customHeight="1">
      <c r="A7" s="8">
        <v>0</v>
      </c>
      <c r="B7" s="8">
        <v>0</v>
      </c>
      <c r="C7" s="8">
        <v>0</v>
      </c>
      <c r="D7" s="8">
        <v>0</v>
      </c>
      <c r="E7" s="8">
        <v>0</v>
      </c>
      <c r="F7" s="8">
        <v>0.25</v>
      </c>
      <c r="G7" s="8">
        <v>0.6</v>
      </c>
      <c r="H7" s="8">
        <v>0.1</v>
      </c>
      <c r="I7" s="8">
        <v>0.05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</row>
    <row r="8" spans="1:24" ht="15" customHeight="1">
      <c r="A8" s="8">
        <v>0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0.25</v>
      </c>
      <c r="H8" s="8">
        <v>0.6</v>
      </c>
      <c r="I8" s="8">
        <v>0.1</v>
      </c>
      <c r="J8" s="8">
        <v>0.05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</row>
    <row r="9" spans="1:24" ht="15" customHeight="1">
      <c r="A9" s="8">
        <v>0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0.25</v>
      </c>
      <c r="I9" s="8">
        <v>0.6</v>
      </c>
      <c r="J9" s="8">
        <v>0.1</v>
      </c>
      <c r="K9" s="8">
        <v>0.05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</row>
    <row r="10" spans="1:24" ht="15" customHeight="1">
      <c r="A10" s="8">
        <v>0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0.25</v>
      </c>
      <c r="J10" s="8">
        <v>0.6</v>
      </c>
      <c r="K10" s="8">
        <v>0.1</v>
      </c>
      <c r="L10" s="8">
        <v>0.05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</row>
    <row r="11" spans="1:24" ht="15" customHeight="1">
      <c r="A11" s="8">
        <v>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0.25</v>
      </c>
      <c r="K11" s="8">
        <v>0.6</v>
      </c>
      <c r="L11" s="8">
        <v>0.1</v>
      </c>
      <c r="M11" s="8">
        <v>0.05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</row>
    <row r="12" spans="1:24" ht="15" customHeight="1">
      <c r="A12" s="8">
        <v>0</v>
      </c>
      <c r="B12" s="8">
        <v>0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0.25</v>
      </c>
      <c r="L12" s="8">
        <v>0.6</v>
      </c>
      <c r="M12" s="8">
        <v>0.1</v>
      </c>
      <c r="N12" s="8">
        <v>0.04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</row>
    <row r="13" spans="1:24" ht="15" customHeight="1">
      <c r="A13" s="8">
        <v>0</v>
      </c>
      <c r="B13" s="8">
        <v>0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0.25</v>
      </c>
      <c r="M13" s="8">
        <v>0.6</v>
      </c>
      <c r="N13" s="8">
        <v>0.14000000000000001</v>
      </c>
      <c r="O13" s="8">
        <v>0.05</v>
      </c>
      <c r="P13" s="8">
        <v>0.05</v>
      </c>
      <c r="Q13" s="8">
        <v>0.04</v>
      </c>
      <c r="R13" s="8">
        <v>0.05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</row>
    <row r="14" spans="1:24" ht="15" customHeight="1">
      <c r="A14" s="8">
        <v>0</v>
      </c>
      <c r="B14" s="8">
        <v>0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0.25</v>
      </c>
      <c r="N14" s="8">
        <v>0.8</v>
      </c>
      <c r="O14" s="8">
        <v>0.15</v>
      </c>
      <c r="P14" s="8">
        <v>0.15</v>
      </c>
      <c r="Q14" s="8">
        <v>0.15</v>
      </c>
      <c r="R14" s="8">
        <v>0</v>
      </c>
      <c r="S14" s="8">
        <v>0.04</v>
      </c>
      <c r="T14" s="8">
        <v>0.05</v>
      </c>
      <c r="U14" s="8">
        <v>0.04</v>
      </c>
      <c r="V14" s="8">
        <v>0</v>
      </c>
      <c r="W14" s="8">
        <v>0</v>
      </c>
    </row>
    <row r="15" spans="1:24" ht="15" customHeight="1">
      <c r="A15" s="8">
        <v>0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0.01</v>
      </c>
      <c r="O15" s="8">
        <v>0.8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</row>
    <row r="16" spans="1:24" ht="15" customHeight="1">
      <c r="A16" s="8">
        <v>0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0.01</v>
      </c>
      <c r="O16" s="8">
        <v>0</v>
      </c>
      <c r="P16" s="8">
        <v>0.8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</row>
    <row r="17" spans="1:23" ht="15" customHeight="1">
      <c r="A17" s="8">
        <v>0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0.8</v>
      </c>
      <c r="R17" s="8">
        <v>0.15</v>
      </c>
      <c r="S17" s="8">
        <v>0</v>
      </c>
      <c r="T17" s="8">
        <v>0</v>
      </c>
      <c r="U17" s="8">
        <v>0.15</v>
      </c>
      <c r="V17" s="8">
        <v>0.04</v>
      </c>
      <c r="W17" s="8">
        <v>0</v>
      </c>
    </row>
    <row r="18" spans="1:23" ht="15" customHeight="1">
      <c r="A18" s="8">
        <v>0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0.01</v>
      </c>
      <c r="R18" s="8">
        <v>0.8</v>
      </c>
      <c r="S18" s="8">
        <v>0.15</v>
      </c>
      <c r="T18" s="8">
        <v>0</v>
      </c>
      <c r="U18" s="8">
        <v>0</v>
      </c>
      <c r="V18" s="8">
        <v>0</v>
      </c>
      <c r="W18" s="8">
        <v>0</v>
      </c>
    </row>
    <row r="19" spans="1:23" ht="15" customHeight="1">
      <c r="A19" s="8">
        <v>0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0.8</v>
      </c>
      <c r="T19" s="8">
        <v>0.15</v>
      </c>
      <c r="U19" s="8">
        <v>0</v>
      </c>
      <c r="V19" s="8">
        <v>0</v>
      </c>
      <c r="W19" s="8">
        <v>0</v>
      </c>
    </row>
    <row r="20" spans="1:23" ht="15" customHeight="1">
      <c r="A20" s="8">
        <v>0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0.01</v>
      </c>
      <c r="T20" s="8">
        <v>0.8</v>
      </c>
      <c r="U20" s="8">
        <v>0</v>
      </c>
      <c r="V20" s="8">
        <v>0</v>
      </c>
      <c r="W20" s="8">
        <v>0</v>
      </c>
    </row>
    <row r="21" spans="1:23" ht="15" customHeight="1">
      <c r="A21" s="8">
        <v>0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0.8</v>
      </c>
      <c r="V21" s="8">
        <v>0.15</v>
      </c>
      <c r="W21" s="8">
        <v>0.05</v>
      </c>
    </row>
    <row r="22" spans="1:23" ht="15" customHeight="1">
      <c r="A22" s="8">
        <v>0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0.01</v>
      </c>
      <c r="V22" s="8">
        <v>0.8</v>
      </c>
      <c r="W22" s="8">
        <v>0.15</v>
      </c>
    </row>
    <row r="23" spans="1:23" ht="15" customHeight="1">
      <c r="A23" s="8">
        <v>0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0.01</v>
      </c>
      <c r="W23" s="8">
        <v>0.8</v>
      </c>
    </row>
  </sheetData>
  <conditionalFormatting sqref="A1:W23">
    <cfRule type="cellIs" dxfId="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c7faf10-95cf-4b08-aa35-4e5ec9649a6d">
      <Terms xmlns="http://schemas.microsoft.com/office/infopath/2007/PartnerControls"/>
    </lcf76f155ced4ddcb4097134ff3c332f>
    <TaxCatchAll xmlns="31062a0d-ede8-4112-b4bb-00a9c1bc8e1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C9057CFD2BEC41ADBD840847EFB873" ma:contentTypeVersion="16" ma:contentTypeDescription="Create a new document." ma:contentTypeScope="" ma:versionID="648ae21122da69ae7dfdbeaff919bffe">
  <xsd:schema xmlns:xsd="http://www.w3.org/2001/XMLSchema" xmlns:xs="http://www.w3.org/2001/XMLSchema" xmlns:p="http://schemas.microsoft.com/office/2006/metadata/properties" xmlns:ns2="ac7faf10-95cf-4b08-aa35-4e5ec9649a6d" xmlns:ns3="586d6ec5-3513-4163-b61b-3336b8196cc2" xmlns:ns4="31062a0d-ede8-4112-b4bb-00a9c1bc8e16" targetNamespace="http://schemas.microsoft.com/office/2006/metadata/properties" ma:root="true" ma:fieldsID="a8b932efa105142e2a7486fe9cd6c3e5" ns2:_="" ns3:_="" ns4:_="">
    <xsd:import namespace="ac7faf10-95cf-4b08-aa35-4e5ec9649a6d"/>
    <xsd:import namespace="586d6ec5-3513-4163-b61b-3336b8196cc2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7faf10-95cf-4b08-aa35-4e5ec9649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6d6ec5-3513-4163-b61b-3336b8196c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f6b6205-5358-4dbc-af6b-c3426130b23b}" ma:internalName="TaxCatchAll" ma:showField="CatchAllData" ma:web="586d6ec5-3513-4163-b61b-3336b8196c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54E2EC-EC09-4B15-A9D3-5DD0FA4A5E18}">
  <ds:schemaRefs>
    <ds:schemaRef ds:uri="http://schemas.microsoft.com/office/2006/metadata/properties"/>
    <ds:schemaRef ds:uri="http://schemas.microsoft.com/office/infopath/2007/PartnerControls"/>
    <ds:schemaRef ds:uri="ac7faf10-95cf-4b08-aa35-4e5ec9649a6d"/>
    <ds:schemaRef ds:uri="31062a0d-ede8-4112-b4bb-00a9c1bc8e16"/>
  </ds:schemaRefs>
</ds:datastoreItem>
</file>

<file path=customXml/itemProps2.xml><?xml version="1.0" encoding="utf-8"?>
<ds:datastoreItem xmlns:ds="http://schemas.openxmlformats.org/officeDocument/2006/customXml" ds:itemID="{44145CED-C09B-4602-9656-82F8C526E6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34D189-BD05-488D-A492-045B805644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7faf10-95cf-4b08-aa35-4e5ec9649a6d"/>
    <ds:schemaRef ds:uri="586d6ec5-3513-4163-b61b-3336b8196cc2"/>
    <ds:schemaRef ds:uri="31062a0d-ede8-4112-b4bb-00a9c1bc8e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metadata</vt:lpstr>
      <vt:lpstr>patch_1_demo</vt:lpstr>
      <vt:lpstr>patch_2_demo</vt:lpstr>
      <vt:lpstr>patch_3_demo</vt:lpstr>
      <vt:lpstr>patch_4_demo</vt:lpstr>
      <vt:lpstr>patch_5_demo</vt:lpstr>
      <vt:lpstr>patch_6_demo</vt:lpstr>
      <vt:lpstr>patch_7_demo</vt:lpstr>
      <vt:lpstr>patch_8_demo</vt:lpstr>
      <vt:lpstr>patch_9_demo</vt:lpstr>
      <vt:lpstr>patch_10_demo</vt:lpstr>
      <vt:lpstr>patch_11_demo</vt:lpstr>
      <vt:lpstr>patch_12_demo</vt:lpstr>
      <vt:lpstr>patch_13_demo</vt:lpstr>
      <vt:lpstr>patch_14_demo</vt:lpstr>
      <vt:lpstr>patch_15_demo</vt:lpstr>
      <vt:lpstr>patch_16_demo</vt:lpstr>
      <vt:lpstr>patch_17_demo</vt:lpstr>
      <vt:lpstr>patch_18_demo</vt:lpstr>
      <vt:lpstr>patch_19_demo</vt:lpstr>
      <vt:lpstr>patch_20_demo</vt:lpstr>
      <vt:lpstr>patch_21_demo</vt:lpstr>
      <vt:lpstr>patch_22_demo</vt:lpstr>
      <vt:lpstr>patch_23_demo</vt:lpstr>
      <vt:lpstr>stage_1_move</vt:lpstr>
      <vt:lpstr>stage_2_move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Aldridge, Caleb Ashton</dc:creator>
  <cp:lastModifiedBy>Aldridge, Caleb A</cp:lastModifiedBy>
  <dcterms:created xsi:type="dcterms:W3CDTF">2015-06-05T18:17:20Z</dcterms:created>
  <dcterms:modified xsi:type="dcterms:W3CDTF">2025-07-08T20:33:04Z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0x0101007CC9057CFD2BEC41ADBD840847EFB873</vt:lpwstr>
  </property>
  <property fmtid="{D5CDD505-2E9C-101B-9397-08002B2CF9AE}" pid="3" name="MediaServiceImageTags">
    <vt:lpwstr/>
  </property>
</Properties>
</file>